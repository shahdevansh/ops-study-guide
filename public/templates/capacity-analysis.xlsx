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Mapping" sheetId="1" state="visible" r:id="rId1"/>
    <sheet xmlns:r="http://schemas.openxmlformats.org/officeDocument/2006/relationships" name="Util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ANALYSIS - PROCESS MAPPING</t>
        </is>
      </c>
    </row>
    <row r="3">
      <c r="A3" s="2" t="inlineStr">
        <is>
          <t>Instructions: Fill in yellow cells. Green cells show calculated results. Identifies bottleneck automatically.</t>
        </is>
      </c>
    </row>
    <row r="5">
      <c r="A5" s="1" t="inlineStr">
        <is>
          <t>Station Name</t>
        </is>
      </c>
      <c r="B5" s="1" t="inlineStr">
        <is>
          <t>Processing Time (min)</t>
        </is>
      </c>
      <c r="C5" s="1" t="inlineStr">
        <is>
          <t># Workers</t>
        </is>
      </c>
      <c r="D5" s="1" t="inlineStr">
        <is>
          <t>Capacity (units/hr)</t>
        </is>
      </c>
      <c r="E5" s="1" t="inlineStr">
        <is>
          <t>Bottleneck?</t>
        </is>
      </c>
    </row>
    <row r="6">
      <c r="A6" s="3" t="inlineStr">
        <is>
          <t>Station 1</t>
        </is>
      </c>
      <c r="B6" s="3" t="n"/>
      <c r="C6" s="3" t="n"/>
      <c r="D6" s="4">
        <f>60/B6*C6</f>
        <v/>
      </c>
      <c r="E6" s="4">
        <f>IF(D6=MIN(D6:D10),"YES","")</f>
        <v/>
      </c>
    </row>
    <row r="7">
      <c r="A7" s="3" t="inlineStr">
        <is>
          <t>Station 2</t>
        </is>
      </c>
      <c r="B7" s="3" t="n"/>
      <c r="C7" s="3" t="n"/>
      <c r="D7" s="4">
        <f>60/B7*C7</f>
        <v/>
      </c>
      <c r="E7" s="4">
        <f>IF(D7=MIN(D6:D10),"YES","")</f>
        <v/>
      </c>
    </row>
    <row r="8">
      <c r="A8" s="3" t="inlineStr">
        <is>
          <t>Station 3</t>
        </is>
      </c>
      <c r="B8" s="3" t="n"/>
      <c r="C8" s="3" t="n"/>
      <c r="D8" s="4">
        <f>60/B8*C8</f>
        <v/>
      </c>
      <c r="E8" s="4">
        <f>IF(D8=MIN(D6:D10),"YES","")</f>
        <v/>
      </c>
    </row>
    <row r="9">
      <c r="A9" s="3" t="inlineStr">
        <is>
          <t>Station 4</t>
        </is>
      </c>
      <c r="B9" s="3" t="n"/>
      <c r="C9" s="3" t="n"/>
      <c r="D9" s="4">
        <f>60/B9*C9</f>
        <v/>
      </c>
      <c r="E9" s="4">
        <f>IF(D9=MIN(D6:D10),"YES","")</f>
        <v/>
      </c>
    </row>
    <row r="10">
      <c r="A10" s="3" t="inlineStr">
        <is>
          <t>Station 5</t>
        </is>
      </c>
      <c r="B10" s="3" t="n"/>
      <c r="C10" s="3" t="n"/>
      <c r="D10" s="4">
        <f>60/B10*C10</f>
        <v/>
      </c>
      <c r="E10" s="4">
        <f>IF(D10=MIN(D6:D10),"YES","")</f>
        <v/>
      </c>
    </row>
    <row r="12">
      <c r="A12" s="5" t="inlineStr">
        <is>
          <t>System Throughput (units/hr):</t>
        </is>
      </c>
      <c r="C12" s="4">
        <f>MIN(D7:D11)</f>
        <v/>
      </c>
    </row>
    <row r="13">
      <c r="A13" s="5" t="inlineStr">
        <is>
          <t>Demand Rate (units/hr):</t>
        </is>
      </c>
      <c r="C13" s="3" t="n"/>
    </row>
    <row r="14">
      <c r="A14" s="5" t="inlineStr">
        <is>
          <t>Flow Rate = MIN(Demand, Capacity):</t>
        </is>
      </c>
      <c r="C14" s="4">
        <f>MIN(C13,C12)</f>
        <v/>
      </c>
    </row>
  </sheetData>
  <mergeCells count="5">
    <mergeCell ref="A3:J3"/>
    <mergeCell ref="A13:B13"/>
    <mergeCell ref="A14:B14"/>
    <mergeCell ref="A1:H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ANALYSIS</t>
        </is>
      </c>
    </row>
    <row r="3">
      <c r="A3" s="2" t="inlineStr">
        <is>
          <t>Instructions: Enter flow rate and capacity for each station. Calculates utilization automatically.</t>
        </is>
      </c>
    </row>
    <row r="5">
      <c r="A5" s="1" t="inlineStr">
        <is>
          <t>Station</t>
        </is>
      </c>
      <c r="B5" s="1" t="inlineStr">
        <is>
          <t>Flow Rate (units/hr)</t>
        </is>
      </c>
      <c r="C5" s="1" t="inlineStr">
        <is>
          <t>Capacity (units/hr)</t>
        </is>
      </c>
      <c r="D5" s="1" t="inlineStr">
        <is>
          <t>Utilization</t>
        </is>
      </c>
      <c r="E5" s="1" t="inlineStr">
        <is>
          <t>Implied Utilization</t>
        </is>
      </c>
    </row>
    <row r="6">
      <c r="A6" s="5" t="inlineStr">
        <is>
          <t>Station 1</t>
        </is>
      </c>
      <c r="B6" s="3" t="n"/>
      <c r="C6" s="3" t="n"/>
      <c r="D6" s="4">
        <f>B6/C6</f>
        <v/>
      </c>
      <c r="E6" s="4" t="n"/>
    </row>
    <row r="7">
      <c r="A7" s="5" t="inlineStr">
        <is>
          <t>Station 2</t>
        </is>
      </c>
      <c r="B7" s="3" t="n"/>
      <c r="C7" s="3" t="n"/>
      <c r="D7" s="4">
        <f>B7/C7</f>
        <v/>
      </c>
      <c r="E7" s="4">
        <f>$C$12/C7</f>
        <v/>
      </c>
    </row>
    <row r="8">
      <c r="A8" s="5" t="inlineStr">
        <is>
          <t>Station 3</t>
        </is>
      </c>
      <c r="B8" s="3" t="n"/>
      <c r="C8" s="3" t="n"/>
      <c r="D8" s="4">
        <f>B8/C8</f>
        <v/>
      </c>
      <c r="E8" s="4">
        <f>$C$12/C8</f>
        <v/>
      </c>
    </row>
    <row r="9">
      <c r="A9" s="5" t="inlineStr">
        <is>
          <t>Station 4</t>
        </is>
      </c>
      <c r="B9" s="3" t="n"/>
      <c r="C9" s="3" t="n"/>
      <c r="D9" s="4">
        <f>B9/C9</f>
        <v/>
      </c>
      <c r="E9" s="4">
        <f>$C$12/C9</f>
        <v/>
      </c>
    </row>
    <row r="10">
      <c r="A10" s="5" t="inlineStr">
        <is>
          <t>Station 5</t>
        </is>
      </c>
      <c r="B10" s="3" t="n"/>
      <c r="C10" s="3" t="n"/>
      <c r="D10" s="4">
        <f>B10/C10</f>
        <v/>
      </c>
      <c r="E10" s="4">
        <f>$C$12/C10</f>
        <v/>
      </c>
    </row>
    <row r="11">
      <c r="E11" s="4">
        <f>$C$12/C11</f>
        <v/>
      </c>
    </row>
    <row r="12">
      <c r="A12" s="5" t="inlineStr">
        <is>
          <t>Demand Rate:</t>
        </is>
      </c>
      <c r="C12" s="3" t="n"/>
    </row>
  </sheetData>
  <mergeCells count="3">
    <mergeCell ref="A1:F1"/>
    <mergeCell ref="A3:J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2026-03-10T23:37:26Z</dcterms:created>
  <dcterms:modified xmlns:dcterms="http://purl.org/dc/terms/" xmlns:xsi="http://www.w3.org/2001/XMLSchema-instance" xsi:type="dcterms:W3CDTF">2026-03-10T23:37:26Z</dcterms:modified>
</cp:coreProperties>
</file>