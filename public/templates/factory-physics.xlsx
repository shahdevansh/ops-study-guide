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tle's Law" sheetId="1" state="visible" r:id="rId1"/>
    <sheet xmlns:r="http://schemas.openxmlformats.org/officeDocument/2006/relationships" name="WIP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LITTLE'S LAW: WIP = Throughput Rate × Throughput Time</t>
        </is>
      </c>
    </row>
    <row r="3">
      <c r="A3" s="2" t="inlineStr">
        <is>
          <t>Instructions: Enter any TWO of the three variables. The third will be calculated automatically.</t>
        </is>
      </c>
    </row>
    <row r="5">
      <c r="A5" s="3" t="inlineStr">
        <is>
          <t>WIP (Work in Process)</t>
        </is>
      </c>
      <c r="B5" t="inlineStr">
        <is>
          <t>units</t>
        </is>
      </c>
      <c r="C5" s="4" t="n"/>
    </row>
    <row r="6">
      <c r="A6" s="3" t="inlineStr">
        <is>
          <t>Throughput Rate (TH)</t>
        </is>
      </c>
      <c r="B6" t="inlineStr">
        <is>
          <t>units/time</t>
        </is>
      </c>
      <c r="C6" s="4" t="n"/>
    </row>
    <row r="7">
      <c r="A7" s="3" t="inlineStr">
        <is>
          <t>Throughput Time (CT)</t>
        </is>
      </c>
      <c r="B7" t="inlineStr">
        <is>
          <t>time</t>
        </is>
      </c>
      <c r="C7" s="4" t="n"/>
    </row>
    <row r="9">
      <c r="A9" s="1" t="inlineStr">
        <is>
          <t>CALCULATED RESULTS (leave inputs blank to calculate)</t>
        </is>
      </c>
    </row>
    <row r="10">
      <c r="A10" s="3" t="inlineStr">
        <is>
          <t>WIP (calculated)</t>
        </is>
      </c>
      <c r="C10" s="5">
        <f>IF(C6="",C7*C8,C6)</f>
        <v/>
      </c>
    </row>
    <row r="11">
      <c r="A11" s="3" t="inlineStr">
        <is>
          <t>Throughput Rate (calculated)</t>
        </is>
      </c>
      <c r="C11" s="5">
        <f>IF(C7="",C6/C8,C7)</f>
        <v/>
      </c>
    </row>
    <row r="12">
      <c r="A12" s="3" t="inlineStr">
        <is>
          <t>Throughput Time (calculated)</t>
        </is>
      </c>
      <c r="C12" s="5">
        <f>IF(C8="",C6/C7,C8)</f>
        <v/>
      </c>
    </row>
    <row r="15">
      <c r="A15" s="1" t="inlineStr">
        <is>
          <t>EXAMPLE: Grohe Lux (Pre-loaded)</t>
        </is>
      </c>
    </row>
    <row r="16">
      <c r="A16" s="3" t="inlineStr">
        <is>
          <t>WIP</t>
        </is>
      </c>
      <c r="B16" s="5" t="inlineStr">
        <is>
          <t>2000</t>
        </is>
      </c>
      <c r="C16" t="inlineStr">
        <is>
          <t>units</t>
        </is>
      </c>
    </row>
    <row r="17">
      <c r="A17" s="3" t="inlineStr">
        <is>
          <t>Throughput Rate</t>
        </is>
      </c>
      <c r="B17" s="5" t="inlineStr">
        <is>
          <t>40</t>
        </is>
      </c>
      <c r="C17" t="inlineStr">
        <is>
          <t>units/week</t>
        </is>
      </c>
    </row>
    <row r="18">
      <c r="A18" s="3" t="inlineStr">
        <is>
          <t>Throughput Time</t>
        </is>
      </c>
      <c r="B18" s="5">
        <f>B16/B17</f>
        <v/>
      </c>
      <c r="C18" t="inlineStr">
        <is>
          <t>weeks</t>
        </is>
      </c>
    </row>
  </sheetData>
  <mergeCells count="4">
    <mergeCell ref="A9:C9"/>
    <mergeCell ref="A15:E15"/>
    <mergeCell ref="A1:E1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WIP ANALYSIS - BEST CASE vs WORST CASE</t>
        </is>
      </c>
    </row>
    <row r="3">
      <c r="A3" s="2" t="inlineStr">
        <is>
          <t>Instructions: Enter system parameters. Formulas calculate best case and worst case cycle times.</t>
        </is>
      </c>
    </row>
    <row r="5">
      <c r="A5" t="inlineStr">
        <is>
          <t>Raw Processing Time (minutes)</t>
        </is>
      </c>
      <c r="B5" t="inlineStr">
        <is>
          <t>Time for processing with no delays</t>
        </is>
      </c>
      <c r="C5" s="4" t="n"/>
    </row>
    <row r="6">
      <c r="A6" t="inlineStr">
        <is>
          <t>WIP Level (units)</t>
        </is>
      </c>
      <c r="B6" t="inlineStr">
        <is>
          <t>Work in Process in system</t>
        </is>
      </c>
      <c r="C6" s="4" t="n"/>
    </row>
    <row r="7">
      <c r="A7" t="inlineStr">
        <is>
          <t>Bottleneck Rate (r_b, units/min)</t>
        </is>
      </c>
      <c r="B7" t="inlineStr">
        <is>
          <t>Capacity of bottleneck resource</t>
        </is>
      </c>
      <c r="C7" s="4" t="n"/>
    </row>
    <row r="9">
      <c r="A9" s="1" t="inlineStr">
        <is>
          <t>CYCLE TIME CALCULATIONS</t>
        </is>
      </c>
    </row>
    <row r="10">
      <c r="A10" s="3" t="inlineStr">
        <is>
          <t>Best Case CT:</t>
        </is>
      </c>
      <c r="B10" t="inlineStr">
        <is>
          <t>Raw Time + (WIP-1)/r_b</t>
        </is>
      </c>
      <c r="D10" s="2" t="inlineStr">
        <is>
          <t>Formula:</t>
        </is>
      </c>
      <c r="E10" s="5">
        <f>C7+(C8-1)/C9</f>
        <v/>
      </c>
    </row>
    <row r="11">
      <c r="A11" s="3" t="inlineStr">
        <is>
          <t>Worst Case CT:</t>
        </is>
      </c>
      <c r="B11" t="inlineStr">
        <is>
          <t>WIP × Raw Time</t>
        </is>
      </c>
      <c r="D11" s="2" t="inlineStr">
        <is>
          <t>Formula:</t>
        </is>
      </c>
      <c r="E11" s="5">
        <f>C8*C7</f>
        <v/>
      </c>
    </row>
    <row r="12">
      <c r="A12" s="3" t="inlineStr">
        <is>
          <t>Practical Worst:</t>
        </is>
      </c>
      <c r="B12" t="inlineStr">
        <is>
          <t>Between best and worst</t>
        </is>
      </c>
      <c r="D12" s="2" t="inlineStr">
        <is>
          <t>Formula:</t>
        </is>
      </c>
      <c r="E12" s="5">
        <f>(E11+E10)/2</f>
        <v/>
      </c>
    </row>
  </sheetData>
  <mergeCells count="3">
    <mergeCell ref="A1:G1"/>
    <mergeCell ref="A3:J3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2026-03-10T23:37:26Z</dcterms:created>
  <dcterms:modified xmlns:dcterms="http://purl.org/dc/terms/" xmlns:xsi="http://www.w3.org/2001/XMLSchema-instance" xsi:type="dcterms:W3CDTF">2026-03-10T23:37:26Z</dcterms:modified>
</cp:coreProperties>
</file>