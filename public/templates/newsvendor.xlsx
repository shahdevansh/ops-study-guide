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ical Ratio" sheetId="1" state="visible" r:id="rId1"/>
    <sheet xmlns:r="http://schemas.openxmlformats.org/officeDocument/2006/relationships" name="Optimal Order" sheetId="2" state="visible" r:id="rId2"/>
    <sheet xmlns:r="http://schemas.openxmlformats.org/officeDocument/2006/relationships" name="Service Level" sheetId="3" state="visible" r:id="rId3"/>
    <sheet xmlns:r="http://schemas.openxmlformats.org/officeDocument/2006/relationships" name="Profit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</font>
    <font>
      <b val="1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3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NEWSVENDOR - CRITICAL RATIO CALCULATION</t>
        </is>
      </c>
    </row>
    <row r="3">
      <c r="A3" s="2" t="inlineStr">
        <is>
          <t>Instructions: Enter cost data to calculate critical ratio (optimal service level).</t>
        </is>
      </c>
    </row>
    <row r="5">
      <c r="A5" s="1" t="inlineStr">
        <is>
          <t>COST DATA</t>
        </is>
      </c>
    </row>
    <row r="6">
      <c r="A6" t="inlineStr">
        <is>
          <t>Selling Price (p)</t>
        </is>
      </c>
      <c r="B6" t="inlineStr">
        <is>
          <t>$/unit</t>
        </is>
      </c>
      <c r="C6" s="3" t="n"/>
    </row>
    <row r="7">
      <c r="A7" t="inlineStr">
        <is>
          <t>Purchase Cost (c)</t>
        </is>
      </c>
      <c r="B7" t="inlineStr">
        <is>
          <t>$/unit</t>
        </is>
      </c>
      <c r="C7" s="3" t="n"/>
    </row>
    <row r="8">
      <c r="A8" t="inlineStr">
        <is>
          <t>Salvage Value (v)</t>
        </is>
      </c>
      <c r="B8" t="inlineStr">
        <is>
          <t>$/unit</t>
        </is>
      </c>
      <c r="C8" s="3" t="n"/>
    </row>
    <row r="10">
      <c r="A10" s="1" t="inlineStr">
        <is>
          <t>CALCULATIONS</t>
        </is>
      </c>
    </row>
    <row r="11">
      <c r="A11" t="inlineStr">
        <is>
          <t>Co (overage cost)</t>
        </is>
      </c>
      <c r="C11" s="4">
        <f>C7-C8</f>
        <v/>
      </c>
      <c r="D11" s="2" t="inlineStr">
        <is>
          <t>Cost - Salvage Value</t>
        </is>
      </c>
    </row>
    <row r="12">
      <c r="A12" t="inlineStr">
        <is>
          <t>Cu (underage cost)</t>
        </is>
      </c>
      <c r="C12" s="4">
        <f>C6-C7</f>
        <v/>
      </c>
      <c r="D12" s="2" t="inlineStr">
        <is>
          <t>Price - Cost</t>
        </is>
      </c>
    </row>
    <row r="13">
      <c r="A13" t="inlineStr">
        <is>
          <t>Critical ratio (pc)</t>
        </is>
      </c>
      <c r="C13" s="4">
        <f>C10/(C10+C9)</f>
        <v/>
      </c>
      <c r="D13" s="2" t="inlineStr">
        <is>
          <t>Cu / (Cu + Co)</t>
        </is>
      </c>
    </row>
    <row r="14">
      <c r="A14" t="inlineStr">
        <is>
          <t>Optimal service level</t>
        </is>
      </c>
      <c r="C14" s="4">
        <f>C10</f>
        <v/>
      </c>
      <c r="D14" s="2" t="inlineStr">
        <is>
          <t>Same as critical ratio</t>
        </is>
      </c>
    </row>
  </sheetData>
  <mergeCells count="2">
    <mergeCell ref="A1:E1"/>
    <mergeCell ref="A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OPTIMAL ORDER QUANTITY (Normal Distribution)</t>
        </is>
      </c>
    </row>
    <row r="3">
      <c r="A3" s="2" t="inlineStr">
        <is>
          <t>Instructions: Enter demand parameters and critical ratio to find Q*.</t>
        </is>
      </c>
    </row>
    <row r="5">
      <c r="A5" s="1" t="inlineStr">
        <is>
          <t>DEMAND PARAMETERS</t>
        </is>
      </c>
    </row>
    <row r="6">
      <c r="A6" t="inlineStr">
        <is>
          <t>μ (mean demand)</t>
        </is>
      </c>
      <c r="B6" t="inlineStr">
        <is>
          <t>units</t>
        </is>
      </c>
      <c r="C6" s="3" t="n"/>
    </row>
    <row r="7">
      <c r="A7" t="inlineStr">
        <is>
          <t>σ (std dev demand)</t>
        </is>
      </c>
      <c r="B7" t="inlineStr">
        <is>
          <t>units</t>
        </is>
      </c>
      <c r="C7" s="3" t="n"/>
    </row>
    <row r="8">
      <c r="A8" t="inlineStr">
        <is>
          <t>Critical ratio (pc)</t>
        </is>
      </c>
      <c r="B8" t="inlineStr">
        <is>
          <t>probability</t>
        </is>
      </c>
      <c r="C8" s="3" t="n"/>
    </row>
    <row r="10">
      <c r="A10" s="1" t="inlineStr">
        <is>
          <t>OPTIMAL ORDER CALCULATION</t>
        </is>
      </c>
    </row>
    <row r="11">
      <c r="A11" t="inlineStr">
        <is>
          <t>z* (critical z-score)</t>
        </is>
      </c>
      <c r="C11" s="4">
        <f>NORM.S.INV(C9)</f>
        <v/>
      </c>
      <c r="D11" s="2" t="inlineStr">
        <is>
          <t>NORM.S.INV(pc)</t>
        </is>
      </c>
    </row>
    <row r="12">
      <c r="A12" t="inlineStr">
        <is>
          <t>Q* (optimal order)</t>
        </is>
      </c>
      <c r="C12" s="4">
        <f>C7+C10*C8</f>
        <v/>
      </c>
      <c r="D12" s="2" t="inlineStr">
        <is>
          <t>μ + z* × σ</t>
        </is>
      </c>
    </row>
    <row r="13">
      <c r="A13" t="inlineStr">
        <is>
          <t>Alternative Q*</t>
        </is>
      </c>
      <c r="C13" s="4">
        <f>NORM.INV(C9,C7,C8)</f>
        <v/>
      </c>
      <c r="D13" s="2" t="inlineStr">
        <is>
          <t>NORM.INV(pc, μ, σ)</t>
        </is>
      </c>
    </row>
    <row r="14">
      <c r="A14" t="inlineStr">
        <is>
          <t>Expected profit</t>
        </is>
      </c>
      <c r="C14" s="3" t="n"/>
      <c r="D14" s="2" t="inlineStr">
        <is>
          <t>Complex calculation</t>
        </is>
      </c>
    </row>
  </sheetData>
  <mergeCells count="2">
    <mergeCell ref="A1:E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 LEVEL ANALYSIS</t>
        </is>
      </c>
    </row>
    <row r="3">
      <c r="A3" s="2" t="inlineStr">
        <is>
          <t>Instructions: Enter Q to find service level, or target service level to find required Q.</t>
        </is>
      </c>
    </row>
    <row r="5">
      <c r="A5" s="1" t="inlineStr">
        <is>
          <t>PARAMETERS</t>
        </is>
      </c>
    </row>
    <row r="6">
      <c r="A6" t="inlineStr">
        <is>
          <t>μ (mean demand)</t>
        </is>
      </c>
      <c r="B6" t="inlineStr">
        <is>
          <t>units</t>
        </is>
      </c>
      <c r="C6" s="3" t="n"/>
    </row>
    <row r="7">
      <c r="A7" t="inlineStr">
        <is>
          <t>σ (std dev demand)</t>
        </is>
      </c>
      <c r="B7" t="inlineStr">
        <is>
          <t>units</t>
        </is>
      </c>
      <c r="C7" s="3" t="n"/>
    </row>
    <row r="9">
      <c r="A9" s="1" t="inlineStr">
        <is>
          <t>GIVEN Q → FIND SERVICE LEVEL</t>
        </is>
      </c>
    </row>
    <row r="10">
      <c r="A10" t="inlineStr">
        <is>
          <t>Order quantity (Q)</t>
        </is>
      </c>
      <c r="C10" s="3" t="n"/>
    </row>
    <row r="11">
      <c r="A11" t="inlineStr">
        <is>
          <t>z-score</t>
        </is>
      </c>
      <c r="C11" s="4">
        <f>(C10-C7)/C8</f>
        <v/>
      </c>
      <c r="D11" s="2" t="inlineStr">
        <is>
          <t>(Q - μ) / σ</t>
        </is>
      </c>
    </row>
    <row r="12">
      <c r="A12" t="inlineStr">
        <is>
          <t>Service level</t>
        </is>
      </c>
      <c r="C12" s="4">
        <f>NORM.S.DIST(C11,TRUE)</f>
        <v/>
      </c>
      <c r="D12" s="2" t="inlineStr">
        <is>
          <t>NORM.S.DIST(z, TRUE)</t>
        </is>
      </c>
    </row>
    <row r="13">
      <c r="A13" t="inlineStr">
        <is>
          <t>P(stockout)</t>
        </is>
      </c>
      <c r="C13" s="4">
        <f>1-C10</f>
        <v/>
      </c>
      <c r="D13" s="2" t="inlineStr">
        <is>
          <t>1 - Service level</t>
        </is>
      </c>
    </row>
    <row r="15">
      <c r="A15" s="1" t="inlineStr">
        <is>
          <t>GIVEN SERVICE LEVEL → FIND Q</t>
        </is>
      </c>
    </row>
    <row r="16">
      <c r="A16" t="inlineStr">
        <is>
          <t>Target service level</t>
        </is>
      </c>
      <c r="C16" s="3" t="n"/>
    </row>
    <row r="17">
      <c r="A17" t="inlineStr">
        <is>
          <t>Required Q</t>
        </is>
      </c>
      <c r="C17" s="4">
        <f>NORM.INV(C16,C10,C11)</f>
        <v/>
      </c>
      <c r="D17" s="2" t="inlineStr">
        <is>
          <t>NORM.INV(SL, μ, σ)</t>
        </is>
      </c>
    </row>
  </sheetData>
  <mergeCells count="2">
    <mergeCell ref="A1:E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 ANALYSIS</t>
        </is>
      </c>
    </row>
    <row r="3">
      <c r="A3" s="2" t="inlineStr">
        <is>
          <t>Instructions: Basic profit formulas. Complex expected profit calculations require advanced formulas.</t>
        </is>
      </c>
    </row>
    <row r="5">
      <c r="A5" s="1" t="inlineStr">
        <is>
          <t>PARAMETERS</t>
        </is>
      </c>
    </row>
    <row r="6">
      <c r="A6" t="inlineStr">
        <is>
          <t>Q (order quantity)</t>
        </is>
      </c>
      <c r="B6" t="inlineStr">
        <is>
          <t>units</t>
        </is>
      </c>
      <c r="C6" s="3" t="n"/>
    </row>
    <row r="7">
      <c r="A7" t="inlineStr">
        <is>
          <t>μ (mean demand)</t>
        </is>
      </c>
      <c r="B7" t="inlineStr">
        <is>
          <t>units</t>
        </is>
      </c>
      <c r="C7" s="3" t="n"/>
    </row>
    <row r="8">
      <c r="A8" t="inlineStr">
        <is>
          <t>σ (std dev demand)</t>
        </is>
      </c>
      <c r="B8" t="inlineStr">
        <is>
          <t>units</t>
        </is>
      </c>
      <c r="C8" s="3" t="n"/>
    </row>
    <row r="9">
      <c r="A9" t="inlineStr">
        <is>
          <t>p (selling price)</t>
        </is>
      </c>
      <c r="B9" t="inlineStr">
        <is>
          <t>$/unit</t>
        </is>
      </c>
      <c r="C9" s="3" t="n"/>
    </row>
    <row r="10">
      <c r="A10" t="inlineStr">
        <is>
          <t>c (cost)</t>
        </is>
      </c>
      <c r="B10" t="inlineStr">
        <is>
          <t>$/unit</t>
        </is>
      </c>
      <c r="C10" s="3" t="n"/>
    </row>
    <row r="11">
      <c r="A11" t="inlineStr">
        <is>
          <t>v (salvage value)</t>
        </is>
      </c>
      <c r="B11" t="inlineStr">
        <is>
          <t>$/unit</t>
        </is>
      </c>
      <c r="C11" s="3" t="n"/>
    </row>
    <row r="13">
      <c r="A13" s="1" t="inlineStr">
        <is>
          <t>PROFIT COMPONENTS (Simplified)</t>
        </is>
      </c>
    </row>
    <row r="14">
      <c r="A14" t="inlineStr">
        <is>
          <t>Expected units sold</t>
        </is>
      </c>
      <c r="C14" s="3" t="n"/>
      <c r="D14" s="2" t="inlineStr">
        <is>
          <t>E[min(Q,D)]</t>
        </is>
      </c>
    </row>
    <row r="15">
      <c r="A15" t="inlineStr">
        <is>
          <t>Expected leftover</t>
        </is>
      </c>
      <c r="C15" s="3" t="n"/>
      <c r="D15" s="2" t="inlineStr">
        <is>
          <t>E[max(0,Q-D)]</t>
        </is>
      </c>
    </row>
    <row r="16">
      <c r="A16" t="inlineStr">
        <is>
          <t>Revenue from sales</t>
        </is>
      </c>
      <c r="C16" s="3" t="n"/>
      <c r="D16" s="2" t="inlineStr">
        <is>
          <t>p × E[units sold]</t>
        </is>
      </c>
    </row>
    <row r="17">
      <c r="A17" t="inlineStr">
        <is>
          <t>Revenue from salvage</t>
        </is>
      </c>
      <c r="C17" s="3" t="n"/>
      <c r="D17" s="2" t="inlineStr">
        <is>
          <t>v × E[leftover]</t>
        </is>
      </c>
    </row>
    <row r="18">
      <c r="A18" t="inlineStr">
        <is>
          <t>Total cost</t>
        </is>
      </c>
      <c r="C18" s="4">
        <f>C7*C6</f>
        <v/>
      </c>
      <c r="D18" s="2" t="inlineStr">
        <is>
          <t>c × Q</t>
        </is>
      </c>
    </row>
    <row r="19">
      <c r="A19" t="inlineStr">
        <is>
          <t>Expected profit</t>
        </is>
      </c>
      <c r="C19" s="3" t="n"/>
      <c r="D19" s="2" t="inlineStr">
        <is>
          <t>Revenue - Cost</t>
        </is>
      </c>
    </row>
  </sheetData>
  <mergeCells count="2">
    <mergeCell ref="A1:E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2026-03-10T23:37:26Z</dcterms:created>
  <dcterms:modified xmlns:dcterms="http://purl.org/dc/terms/" xmlns:xsi="http://www.w3.org/2001/XMLSchema-instance" xsi:type="dcterms:W3CDTF">2026-03-10T23:37:26Z</dcterms:modified>
</cp:coreProperties>
</file>