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 Analysis" sheetId="1" state="visible" r:id="rId1"/>
    <sheet xmlns:r="http://schemas.openxmlformats.org/officeDocument/2006/relationships" name="Little's Law" sheetId="2" state="visible" r:id="rId2"/>
    <sheet xmlns:r="http://schemas.openxmlformats.org/officeDocument/2006/relationships" name="Queueing - Single Server" sheetId="3" state="visible" r:id="rId3"/>
    <sheet xmlns:r="http://schemas.openxmlformats.org/officeDocument/2006/relationships" name="Queueing - Multi Server" sheetId="4" state="visible" r:id="rId4"/>
    <sheet xmlns:r="http://schemas.openxmlformats.org/officeDocument/2006/relationships" name="EOQ" sheetId="5" state="visible" r:id="rId5"/>
    <sheet xmlns:r="http://schemas.openxmlformats.org/officeDocument/2006/relationships" name="Newsvendor" sheetId="6" state="visible" r:id="rId6"/>
    <sheet xmlns:r="http://schemas.openxmlformats.org/officeDocument/2006/relationships" name="Quick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"/>
    <numFmt numFmtId="167" formatCode="0.1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sz val="11"/>
    </font>
    <font>
      <b val="1"/>
      <color rgb="00FFFFFF"/>
      <sz val="12"/>
    </font>
    <font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2" borderId="0" pivotButton="0" quotePrefix="0" xfId="0"/>
    <xf numFmtId="2" fontId="0" fillId="4" borderId="1" pivotButton="0" quotePrefix="0" xfId="0"/>
    <xf numFmtId="0" fontId="0" fillId="5" borderId="0" pivotButton="0" quotePrefix="0" xfId="0"/>
    <xf numFmtId="0" fontId="0" fillId="6" borderId="1" pivotButton="0" quotePrefix="0" xfId="0"/>
    <xf numFmtId="2" fontId="0" fillId="6" borderId="1" pivotButton="0" quotePrefix="0" xfId="0"/>
    <xf numFmtId="164" fontId="0" fillId="6" borderId="1" pivotButton="0" quotePrefix="0" xfId="0"/>
    <xf numFmtId="165" fontId="0" fillId="4" borderId="1" pivotButton="0" quotePrefix="0" xfId="0"/>
    <xf numFmtId="0" fontId="5" fillId="0" borderId="0" pivotButton="0" quotePrefix="0" xfId="0"/>
    <xf numFmtId="164" fontId="0" fillId="3" borderId="1" pivotButton="0" quotePrefix="0" xfId="0"/>
    <xf numFmtId="166" fontId="0" fillId="6" borderId="1" pivotButton="0" quotePrefix="0" xfId="0"/>
    <xf numFmtId="167" fontId="0" fillId="6" borderId="1" pivotButton="0" quotePrefix="0" xfId="0"/>
    <xf numFmtId="165" fontId="0" fillId="6" borderId="1" pivotButton="0" quotePrefix="0" xfId="0"/>
    <xf numFmtId="0" fontId="0" fillId="4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5" customWidth="1" min="8" max="8"/>
  </cols>
  <sheetData>
    <row r="1">
      <c r="A1" s="1" t="inlineStr">
        <is>
          <t>CAPACITY ANALYSIS CALCULATOR</t>
        </is>
      </c>
    </row>
    <row r="3">
      <c r="A3" s="2" t="inlineStr">
        <is>
          <t>EMPTY CALCULATOR</t>
        </is>
      </c>
    </row>
    <row r="5">
      <c r="A5" s="2" t="inlineStr">
        <is>
          <t>INPUTS (Green cells)</t>
        </is>
      </c>
    </row>
    <row r="7">
      <c r="A7" t="inlineStr">
        <is>
          <t>Number of stations:</t>
        </is>
      </c>
      <c r="B7" s="3" t="n">
        <v>4</v>
      </c>
    </row>
    <row r="9">
      <c r="A9" s="4" t="inlineStr">
        <is>
          <t>Station</t>
        </is>
      </c>
      <c r="B9" s="4" t="inlineStr">
        <is>
          <t>A</t>
        </is>
      </c>
      <c r="C9" s="4" t="inlineStr">
        <is>
          <t>B</t>
        </is>
      </c>
      <c r="D9" s="4" t="inlineStr">
        <is>
          <t>C</t>
        </is>
      </c>
      <c r="E9" s="4" t="inlineStr">
        <is>
          <t>D</t>
        </is>
      </c>
      <c r="F9" s="4" t="inlineStr">
        <is>
          <t>E</t>
        </is>
      </c>
      <c r="G9" s="4" t="inlineStr">
        <is>
          <t>F</t>
        </is>
      </c>
    </row>
    <row r="10">
      <c r="A10" t="inlineStr">
        <is>
          <t>Setup time (min)</t>
        </is>
      </c>
      <c r="B10" s="3" t="n">
        <v>1</v>
      </c>
      <c r="C10" s="3" t="n">
        <v>1</v>
      </c>
      <c r="D10" s="3" t="n">
        <v>5</v>
      </c>
      <c r="E10" s="3" t="n">
        <v>3</v>
      </c>
      <c r="F10" s="3" t="n"/>
      <c r="G10" s="3" t="n"/>
    </row>
    <row r="11">
      <c r="A11" t="inlineStr">
        <is>
          <t>Processing time per unit (min)</t>
        </is>
      </c>
      <c r="B11" s="3" t="n">
        <v>0.8</v>
      </c>
      <c r="C11" s="3" t="n">
        <v>4</v>
      </c>
      <c r="D11" s="3" t="n">
        <v>6.8</v>
      </c>
      <c r="E11" s="3" t="n">
        <v>3</v>
      </c>
      <c r="F11" s="3" t="n"/>
      <c r="G11" s="3" t="n"/>
    </row>
    <row r="12">
      <c r="A12" t="inlineStr">
        <is>
          <t>Number of workers</t>
        </is>
      </c>
      <c r="B12" s="3" t="n">
        <v>1</v>
      </c>
      <c r="C12" s="3" t="n">
        <v>1</v>
      </c>
      <c r="D12" s="3" t="n">
        <v>1</v>
      </c>
      <c r="E12" s="3" t="n">
        <v>1</v>
      </c>
      <c r="F12" s="3" t="n"/>
      <c r="G12" s="3" t="n"/>
    </row>
    <row r="13">
      <c r="A13" t="inlineStr">
        <is>
          <t>Batch size (units)</t>
        </is>
      </c>
      <c r="B13" s="3" t="n">
        <v>50</v>
      </c>
      <c r="C13" s="3" t="n">
        <v>50</v>
      </c>
      <c r="D13" s="3" t="n">
        <v>50</v>
      </c>
      <c r="E13" s="3" t="n">
        <v>50</v>
      </c>
      <c r="F13" s="3" t="n"/>
      <c r="G13" s="3" t="n"/>
    </row>
    <row r="14">
      <c r="A14" t="inlineStr">
        <is>
          <t>Demand (units/hr):</t>
        </is>
      </c>
      <c r="B14" s="3" t="n">
        <v>6</v>
      </c>
    </row>
    <row r="16">
      <c r="A16" s="2" t="inlineStr">
        <is>
          <t>INTERMEDIATE CALCULATIONS (Yellow cells)</t>
        </is>
      </c>
    </row>
    <row r="18">
      <c r="A18" t="inlineStr">
        <is>
          <t>Time per batch (min)</t>
        </is>
      </c>
      <c r="B18" s="5">
        <f>B10+B11*B13</f>
        <v/>
      </c>
      <c r="C18" s="5">
        <f>C10+C11*C13</f>
        <v/>
      </c>
      <c r="D18" s="5">
        <f>D10+D11*D13</f>
        <v/>
      </c>
      <c r="E18" s="5">
        <f>E10+E11*E13</f>
        <v/>
      </c>
      <c r="F18" s="5" t="n"/>
      <c r="G18" s="5" t="n"/>
      <c r="H18" s="6">
        <f> Setup + Processing × Batch Size</f>
        <v/>
      </c>
    </row>
    <row r="19">
      <c r="A19" t="inlineStr">
        <is>
          <t>Capacity (batches/hr)</t>
        </is>
      </c>
      <c r="B19" s="5">
        <f>IF(B18&gt;0,60/B18,0)</f>
        <v/>
      </c>
      <c r="C19" s="5">
        <f>IF(C18&gt;0,60/C18,0)</f>
        <v/>
      </c>
      <c r="D19" s="5">
        <f>IF(D18&gt;0,60/D18,0)</f>
        <v/>
      </c>
      <c r="E19" s="5">
        <f>IF(E18&gt;0,60/E18,0)</f>
        <v/>
      </c>
      <c r="F19" s="5">
        <f>IF(F18&gt;0,60/F18,0)</f>
        <v/>
      </c>
      <c r="G19" s="5">
        <f>IF(G18&gt;0,60/G18,0)</f>
        <v/>
      </c>
      <c r="H19" s="6">
        <f> 60 / Time per batch</f>
        <v/>
      </c>
    </row>
    <row r="20">
      <c r="A20" t="inlineStr">
        <is>
          <t>Capacity (units/hr)</t>
        </is>
      </c>
      <c r="B20" s="5">
        <f>IF(B19&gt;0,B19*B13,0)</f>
        <v/>
      </c>
      <c r="C20" s="5">
        <f>IF(C19&gt;0,C19*C13,0)</f>
        <v/>
      </c>
      <c r="D20" s="5">
        <f>IF(D19&gt;0,D19*D13,0)</f>
        <v/>
      </c>
      <c r="E20" s="5">
        <f>IF(E19&gt;0,E19*E13,0)</f>
        <v/>
      </c>
      <c r="F20" s="5">
        <f>IF(F19&gt;0,F19*F13,0)</f>
        <v/>
      </c>
      <c r="G20" s="5">
        <f>IF(G19&gt;0,G19*G13,0)</f>
        <v/>
      </c>
      <c r="H20" s="6">
        <f> Capacity(batches/hr) × Batch Size</f>
        <v/>
      </c>
    </row>
    <row r="22">
      <c r="A22" s="2" t="inlineStr">
        <is>
          <t>OUTPUTS (Blue cells)</t>
        </is>
      </c>
    </row>
    <row r="24">
      <c r="A24" t="inlineStr">
        <is>
          <t>Bottleneck station:</t>
        </is>
      </c>
      <c r="B24" s="7">
        <f>INDEX({"A","B","C","D","E","F"},MATCH(MIN(B20:G20),B20:G20,0))</f>
        <v/>
      </c>
      <c r="H24" s="6">
        <f> Station with MIN capacity</f>
        <v/>
      </c>
    </row>
    <row r="25">
      <c r="A25" t="inlineStr">
        <is>
          <t>Process capacity (units/hr):</t>
        </is>
      </c>
      <c r="B25" s="8">
        <f>MIN(B20:G20)</f>
        <v/>
      </c>
      <c r="H25" s="6">
        <f> MIN(all station capacities)</f>
        <v/>
      </c>
    </row>
    <row r="26">
      <c r="A26" t="inlineStr">
        <is>
          <t>Flow rate (units/hr):</t>
        </is>
      </c>
      <c r="B26" s="8">
        <f>MIN(B14,B25)</f>
        <v/>
      </c>
      <c r="H26" s="6">
        <f> MIN(demand, capacity)</f>
        <v/>
      </c>
    </row>
    <row r="27">
      <c r="A27" t="inlineStr">
        <is>
          <t>Utilization per station</t>
        </is>
      </c>
      <c r="B27" s="9">
        <f>IF(B20&gt;0,$B$26/B20,0)</f>
        <v/>
      </c>
      <c r="C27" s="9">
        <f>IF(C20&gt;0,$B$26/C20,0)</f>
        <v/>
      </c>
      <c r="D27" s="9">
        <f>IF(D20&gt;0,$B$26/D20,0)</f>
        <v/>
      </c>
      <c r="E27" s="9">
        <f>IF(E20&gt;0,$B$26/E20,0)</f>
        <v/>
      </c>
      <c r="F27" s="9">
        <f>IF(F20&gt;0,$B$26/F20,0)</f>
        <v/>
      </c>
      <c r="G27" s="9">
        <f>IF(G20&gt;0,$B$26/G20,0)</f>
        <v/>
      </c>
      <c r="H27" s="6">
        <f> Flow rate / Station capacity</f>
        <v/>
      </c>
    </row>
    <row r="30">
      <c r="A30" s="4" t="inlineStr">
        <is>
          <t>WORKED EXAMPLE - Midterm Q1</t>
        </is>
      </c>
    </row>
  </sheetData>
  <mergeCells count="2">
    <mergeCell ref="A30:H3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5" customWidth="1" min="7" max="7"/>
  </cols>
  <sheetData>
    <row r="1">
      <c r="A1" s="1" t="inlineStr">
        <is>
          <t>LITTLE'S LAW CALCULATORS</t>
        </is>
      </c>
    </row>
    <row r="3">
      <c r="A3" s="2" t="inlineStr">
        <is>
          <t>Calculator A: Given TH and TT → WIP</t>
        </is>
      </c>
    </row>
    <row r="5">
      <c r="A5" t="inlineStr">
        <is>
          <t>Throughput Rate TH (units/time):</t>
        </is>
      </c>
      <c r="B5" s="3" t="inlineStr"/>
    </row>
    <row r="6">
      <c r="A6" t="inlineStr">
        <is>
          <t>Throughput Time TT (time/unit):</t>
        </is>
      </c>
      <c r="B6" s="3" t="inlineStr"/>
    </row>
    <row r="7">
      <c r="A7" t="inlineStr">
        <is>
          <t>Work in Process WIP:</t>
        </is>
      </c>
      <c r="B7" s="8">
        <f>IF(AND(B5&lt;&gt;"",B6&lt;&gt;""),B5*B6,"")</f>
        <v/>
      </c>
      <c r="G7" s="6" t="inlineStr">
        <is>
          <t>WIP = TH × TT</t>
        </is>
      </c>
    </row>
    <row r="9">
      <c r="A9" s="2" t="inlineStr">
        <is>
          <t>Calculator B: Given WIP and TT → TH</t>
        </is>
      </c>
    </row>
    <row r="11">
      <c r="A11" t="inlineStr">
        <is>
          <t>Work in Process WIP (units):</t>
        </is>
      </c>
      <c r="B11" s="3" t="inlineStr"/>
    </row>
    <row r="12">
      <c r="A12" t="inlineStr">
        <is>
          <t>Throughput Time TT (time/unit):</t>
        </is>
      </c>
      <c r="B12" s="3" t="inlineStr"/>
    </row>
    <row r="13">
      <c r="A13" t="inlineStr">
        <is>
          <t>Throughput Rate TH:</t>
        </is>
      </c>
      <c r="B13" s="8">
        <f>IF(AND(B11&lt;&gt;"",B12&lt;&gt;"",B12&lt;&gt;0),B11/B12,"")</f>
        <v/>
      </c>
      <c r="G13" s="6" t="inlineStr">
        <is>
          <t>TH = WIP / TT</t>
        </is>
      </c>
    </row>
    <row r="15">
      <c r="A15" s="2" t="inlineStr">
        <is>
          <t>Calculator C: Given WIP and TH → TT</t>
        </is>
      </c>
    </row>
    <row r="17">
      <c r="A17" t="inlineStr">
        <is>
          <t>Work in Process WIP (units):</t>
        </is>
      </c>
      <c r="B17" s="3" t="inlineStr"/>
    </row>
    <row r="18">
      <c r="A18" t="inlineStr">
        <is>
          <t>Throughput Rate TH (units/time):</t>
        </is>
      </c>
      <c r="B18" s="3" t="inlineStr"/>
    </row>
    <row r="19">
      <c r="A19" t="inlineStr">
        <is>
          <t>Throughput Time TT:</t>
        </is>
      </c>
      <c r="B19" s="8">
        <f>IF(AND(B17&lt;&gt;"",B18&lt;&gt;"",B18&lt;&gt;0),B17/B18,"")</f>
        <v/>
      </c>
      <c r="G19" s="6" t="inlineStr">
        <is>
          <t>TT = WIP / TH</t>
        </is>
      </c>
    </row>
    <row r="22">
      <c r="A22" s="4" t="inlineStr">
        <is>
          <t>WORKED EXAMPLE - Grohe Lux (Midterm Q3)</t>
        </is>
      </c>
    </row>
    <row r="24">
      <c r="A24" s="2" t="inlineStr">
        <is>
          <t>BEFORE Implementation:</t>
        </is>
      </c>
    </row>
    <row r="25">
      <c r="D25" s="4" t="inlineStr">
        <is>
          <t>WIP</t>
        </is>
      </c>
      <c r="E25" s="4" t="inlineStr">
        <is>
          <t>TT</t>
        </is>
      </c>
      <c r="F25" s="4" t="inlineStr">
        <is>
          <t>TH</t>
        </is>
      </c>
    </row>
    <row r="26">
      <c r="D26" t="n">
        <v>7500</v>
      </c>
      <c r="E26" t="n">
        <v>4.3</v>
      </c>
      <c r="F26" t="n">
        <v>1744</v>
      </c>
    </row>
    <row r="28">
      <c r="A28" s="2" t="inlineStr">
        <is>
          <t>AFTER Implementation:</t>
        </is>
      </c>
    </row>
    <row r="29">
      <c r="D29" s="4" t="inlineStr">
        <is>
          <t>WIP</t>
        </is>
      </c>
      <c r="E29" s="4" t="inlineStr">
        <is>
          <t>TT</t>
        </is>
      </c>
      <c r="F29" s="4" t="inlineStr">
        <is>
          <t>TH</t>
        </is>
      </c>
    </row>
    <row r="30">
      <c r="D30" t="n">
        <v>1200</v>
      </c>
      <c r="E30" t="n">
        <v>1</v>
      </c>
      <c r="F30" t="n">
        <v>1200</v>
      </c>
    </row>
  </sheetData>
  <mergeCells count="2">
    <mergeCell ref="A22:G2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" t="inlineStr">
        <is>
          <t>SINGLE SERVER QUEUEING CALCULATOR</t>
        </is>
      </c>
    </row>
    <row r="3">
      <c r="A3" s="2" t="inlineStr">
        <is>
          <t>INPUTS (Green cells)</t>
        </is>
      </c>
    </row>
    <row r="5">
      <c r="A5" t="inlineStr">
        <is>
          <t>Avg Service Time M (min):</t>
        </is>
      </c>
      <c r="B5" s="3" t="n">
        <v>3.3</v>
      </c>
    </row>
    <row r="6">
      <c r="A6" t="inlineStr">
        <is>
          <t>Std Dev Service σs (min):</t>
        </is>
      </c>
      <c r="B6" s="3" t="n">
        <v>4.8</v>
      </c>
    </row>
    <row r="7">
      <c r="A7" t="inlineStr">
        <is>
          <t>Avg Interarrival Time A (min):</t>
        </is>
      </c>
      <c r="B7" s="3" t="n">
        <v>4</v>
      </c>
    </row>
    <row r="8">
      <c r="A8" t="inlineStr">
        <is>
          <t>Std Dev Interarrival σa (min):</t>
        </is>
      </c>
      <c r="B8" s="3" t="n">
        <v>3.2</v>
      </c>
    </row>
    <row r="10">
      <c r="A10" s="2" t="inlineStr">
        <is>
          <t>INTERMEDIATE CALCULATIONS (Yellow cells)</t>
        </is>
      </c>
    </row>
    <row r="12">
      <c r="A12" t="inlineStr">
        <is>
          <t>Utilization ρ:</t>
        </is>
      </c>
      <c r="B12" s="10">
        <f>IF(B7&lt;&gt;0,B5/B7,"")</f>
        <v/>
      </c>
      <c r="C12" s="6" t="inlineStr">
        <is>
          <t>ρ = M/A</t>
        </is>
      </c>
    </row>
    <row r="13">
      <c r="A13" t="inlineStr">
        <is>
          <t>Coeff of Variation Arrivals Ca:</t>
        </is>
      </c>
      <c r="B13" s="10">
        <f>IF(B7&lt;&gt;0,B8/B7,"")</f>
        <v/>
      </c>
      <c r="C13" s="6" t="inlineStr">
        <is>
          <t>Ca = σa/A</t>
        </is>
      </c>
    </row>
    <row r="14">
      <c r="A14" t="inlineStr">
        <is>
          <t>Coeff of Variation Service Cs:</t>
        </is>
      </c>
      <c r="B14" s="10">
        <f>IF(B5&lt;&gt;0,B6/B5,"")</f>
        <v/>
      </c>
      <c r="C14" s="6" t="inlineStr">
        <is>
          <t>Cs = σs/M</t>
        </is>
      </c>
    </row>
    <row r="15">
      <c r="A15" t="inlineStr">
        <is>
          <t>Variance Effect:</t>
        </is>
      </c>
      <c r="B15" s="10">
        <f>(B13^2+B14^2)/2</f>
        <v/>
      </c>
      <c r="C15" s="6" t="inlineStr">
        <is>
          <t>(Ca² + Cs²)/2</t>
        </is>
      </c>
    </row>
    <row r="16">
      <c r="A16" t="inlineStr">
        <is>
          <t>Utilization Effect:</t>
        </is>
      </c>
      <c r="B16" s="10">
        <f>IF(B12&lt;1,B12/(1-B12),"")</f>
        <v/>
      </c>
      <c r="C16" s="6" t="inlineStr">
        <is>
          <t>ρ/(1-ρ)</t>
        </is>
      </c>
    </row>
    <row r="18">
      <c r="A18" s="2" t="inlineStr">
        <is>
          <t>OUTPUTS (Blue cells)</t>
        </is>
      </c>
    </row>
    <row r="20">
      <c r="A20" t="inlineStr">
        <is>
          <t>Avg Wait in Queue W (min):</t>
        </is>
      </c>
      <c r="B20" s="8">
        <f>B5*B16*B15</f>
        <v/>
      </c>
      <c r="C20" s="6" t="inlineStr">
        <is>
          <t>W = M × Util Effect × Variance Effect</t>
        </is>
      </c>
    </row>
    <row r="21">
      <c r="A21" t="inlineStr">
        <is>
          <t>Avg Customers in Queue L:</t>
        </is>
      </c>
      <c r="B21" s="8">
        <f>IF(B7&lt;&gt;0,B20/B7,"")</f>
        <v/>
      </c>
      <c r="C21" s="6" t="inlineStr">
        <is>
          <t>L = W/A = (1/A) × W</t>
        </is>
      </c>
    </row>
    <row r="22">
      <c r="A22" t="inlineStr">
        <is>
          <t>Total Time in System (min):</t>
        </is>
      </c>
      <c r="B22" s="8">
        <f>B20+B5</f>
        <v/>
      </c>
      <c r="C22" s="6" t="inlineStr">
        <is>
          <t>Total Time = W + M</t>
        </is>
      </c>
    </row>
    <row r="23">
      <c r="A23" t="inlineStr">
        <is>
          <t>Total Customers in System:</t>
        </is>
      </c>
      <c r="B23" s="8">
        <f>B21+B12</f>
        <v/>
      </c>
      <c r="C23" s="6" t="inlineStr">
        <is>
          <t>Total = L + ρ</t>
        </is>
      </c>
    </row>
    <row r="26">
      <c r="A26" s="4" t="inlineStr">
        <is>
          <t>WORKED EXAMPLE - Better Buzz Coffee (Final Q1)</t>
        </is>
      </c>
    </row>
    <row r="28">
      <c r="A28" s="11" t="inlineStr">
        <is>
          <t>Data already filled in above. Expected W ≈ 21.3 minutes</t>
        </is>
      </c>
    </row>
  </sheetData>
  <mergeCells count="2">
    <mergeCell ref="A1:C1"/>
    <mergeCell ref="A26:C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" t="inlineStr">
        <is>
          <t>MULTI-SERVER QUEUEING CALCULATOR</t>
        </is>
      </c>
    </row>
    <row r="3">
      <c r="A3" s="2" t="inlineStr">
        <is>
          <t>INPUTS (Green cells)</t>
        </is>
      </c>
    </row>
    <row r="5">
      <c r="A5" t="inlineStr">
        <is>
          <t>Avg Service Time M (min):</t>
        </is>
      </c>
      <c r="B5" s="3" t="n">
        <v>3.3</v>
      </c>
    </row>
    <row r="6">
      <c r="A6" t="inlineStr">
        <is>
          <t>Std Dev Service σs (min):</t>
        </is>
      </c>
      <c r="B6" s="3" t="n">
        <v>4.8</v>
      </c>
    </row>
    <row r="7">
      <c r="A7" t="inlineStr">
        <is>
          <t>Avg Interarrival Time A (min):</t>
        </is>
      </c>
      <c r="B7" s="3" t="n">
        <v>4</v>
      </c>
    </row>
    <row r="8">
      <c r="A8" t="inlineStr">
        <is>
          <t>Std Dev Interarrival σa (min):</t>
        </is>
      </c>
      <c r="B8" s="3" t="n">
        <v>3.2</v>
      </c>
    </row>
    <row r="9">
      <c r="A9" t="inlineStr">
        <is>
          <t>Number of Servers n:</t>
        </is>
      </c>
      <c r="B9" s="3" t="n">
        <v>2</v>
      </c>
    </row>
    <row r="11">
      <c r="A11" s="2" t="inlineStr">
        <is>
          <t>INTERMEDIATE CALCULATIONS (Yellow cells)</t>
        </is>
      </c>
    </row>
    <row r="13">
      <c r="A13" t="inlineStr">
        <is>
          <t>System Utilization ρ:</t>
        </is>
      </c>
      <c r="B13" s="10">
        <f>IF(AND(B9&lt;&gt;0,B7&lt;&gt;0),B5/(B9*B7),"")</f>
        <v/>
      </c>
      <c r="C13" s="6" t="inlineStr">
        <is>
          <t>ρ = M/(n×A)</t>
        </is>
      </c>
    </row>
    <row r="14">
      <c r="A14" t="inlineStr">
        <is>
          <t>Coeff of Variation Arrivals Ca:</t>
        </is>
      </c>
      <c r="B14" s="10">
        <f>IF(B7&lt;&gt;0,B8/B7,"")</f>
        <v/>
      </c>
      <c r="C14" s="6" t="inlineStr">
        <is>
          <t>Ca = σa/A</t>
        </is>
      </c>
    </row>
    <row r="15">
      <c r="A15" t="inlineStr">
        <is>
          <t>Coeff of Variation Service Cs:</t>
        </is>
      </c>
      <c r="B15" s="10">
        <f>IF(B5&lt;&gt;0,B6/B5,"")</f>
        <v/>
      </c>
      <c r="C15" s="6" t="inlineStr">
        <is>
          <t>Cs = σs/M</t>
        </is>
      </c>
    </row>
    <row r="16">
      <c r="A16" t="inlineStr">
        <is>
          <t>Variance Effect:</t>
        </is>
      </c>
      <c r="B16" s="10">
        <f>(B14^2+B15^2)/2</f>
        <v/>
      </c>
      <c r="C16" s="6" t="inlineStr">
        <is>
          <t>(Ca² + Cs²)/2</t>
        </is>
      </c>
    </row>
    <row r="17">
      <c r="A17" t="inlineStr">
        <is>
          <t>Exponent:</t>
        </is>
      </c>
      <c r="B17" s="10">
        <f>SQRT(2*(B9+1))-1</f>
        <v/>
      </c>
      <c r="C17" s="6" t="inlineStr">
        <is>
          <t>SQRT(2*(n+1)) - 1</t>
        </is>
      </c>
    </row>
    <row r="18">
      <c r="A18" t="inlineStr">
        <is>
          <t>Utilization Effect:</t>
        </is>
      </c>
      <c r="B18" s="10">
        <f>IF(AND(B13&lt;1,B13&gt;0),(B13^B17)/(1-B13),"")</f>
        <v/>
      </c>
      <c r="C18" s="6" t="inlineStr">
        <is>
          <t>ρ^exponent/(1-ρ)</t>
        </is>
      </c>
    </row>
    <row r="20">
      <c r="A20" s="2" t="inlineStr">
        <is>
          <t>OUTPUTS (Blue cells)</t>
        </is>
      </c>
    </row>
    <row r="22">
      <c r="A22" t="inlineStr">
        <is>
          <t>Avg Wait in Queue W (min):</t>
        </is>
      </c>
      <c r="B22" s="8">
        <f>IF(B9&lt;&gt;0,(B5/B9)*B18*B16,"")</f>
        <v/>
      </c>
      <c r="C22" s="6" t="inlineStr">
        <is>
          <t>W = (M/n) × Util Effect × Variance Effect</t>
        </is>
      </c>
    </row>
    <row r="23">
      <c r="A23" t="inlineStr">
        <is>
          <t>Avg Customers in Queue L:</t>
        </is>
      </c>
      <c r="B23" s="8">
        <f>IF(B7&lt;&gt;0,B22/B7,"")</f>
        <v/>
      </c>
      <c r="C23" s="6" t="inlineStr">
        <is>
          <t>L = W/A = (1/A) × W</t>
        </is>
      </c>
    </row>
    <row r="26">
      <c r="A26" s="4" t="inlineStr">
        <is>
          <t>WORKED EXAMPLE - Better Buzz with 2 Servers (Final Q1c)</t>
        </is>
      </c>
    </row>
    <row r="28">
      <c r="A28" s="11" t="inlineStr">
        <is>
          <t>Data already filled in above. Expected W ≈ 1.22 minutes</t>
        </is>
      </c>
    </row>
  </sheetData>
  <mergeCells count="2">
    <mergeCell ref="A1:C1"/>
    <mergeCell ref="A26:C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EOQ CALCULATOR</t>
        </is>
      </c>
    </row>
    <row r="3">
      <c r="A3" s="2" t="inlineStr">
        <is>
          <t>OPTION A - STANDARD EOQ</t>
        </is>
      </c>
    </row>
    <row r="5">
      <c r="A5" t="inlineStr">
        <is>
          <t>Annual Demand D (units/yr):</t>
        </is>
      </c>
      <c r="B5" s="3" t="n">
        <v>22500</v>
      </c>
    </row>
    <row r="6">
      <c r="A6" t="inlineStr">
        <is>
          <t>Ordering Cost S ($/order):</t>
        </is>
      </c>
      <c r="B6" s="3" t="n">
        <v>19.5</v>
      </c>
    </row>
    <row r="7">
      <c r="A7" t="inlineStr">
        <is>
          <t>Cost of Capital i (%):</t>
        </is>
      </c>
      <c r="B7" s="12" t="n">
        <v>0.17</v>
      </c>
    </row>
    <row r="8">
      <c r="A8" t="inlineStr">
        <is>
          <t>Unit Cost c ($):</t>
        </is>
      </c>
      <c r="B8" s="3" t="n">
        <v>45.2</v>
      </c>
    </row>
    <row r="9">
      <c r="A9" t="inlineStr">
        <is>
          <t>Physical Holding Cost h ($/unit/yr):</t>
        </is>
      </c>
      <c r="B9" s="3" t="n">
        <v>0</v>
      </c>
    </row>
    <row r="10">
      <c r="A10" t="inlineStr">
        <is>
          <t>Current Order Quantity Q (units):</t>
        </is>
      </c>
      <c r="B10" s="3" t="n">
        <v>500</v>
      </c>
    </row>
    <row r="12">
      <c r="A12" s="2" t="inlineStr">
        <is>
          <t>INTERMEDIATE CALCULATIONS</t>
        </is>
      </c>
    </row>
    <row r="14">
      <c r="A14" t="inlineStr">
        <is>
          <t>Total Holding Cost H ($/unit/yr):</t>
        </is>
      </c>
      <c r="B14" s="10">
        <f>B7*B8+B9</f>
        <v/>
      </c>
      <c r="C14" s="6" t="inlineStr">
        <is>
          <t>H = i×c + h</t>
        </is>
      </c>
    </row>
    <row r="16">
      <c r="A16" s="2" t="inlineStr">
        <is>
          <t>OUTPUTS</t>
        </is>
      </c>
    </row>
    <row r="18">
      <c r="A18" t="inlineStr">
        <is>
          <t>EOQ (units):</t>
        </is>
      </c>
      <c r="B18" s="13">
        <f>SQRT(2*B6*B5/B14)</f>
        <v/>
      </c>
      <c r="C18" s="6" t="inlineStr">
        <is>
          <t>EOQ = SQRT(2*S*D/H)</t>
        </is>
      </c>
    </row>
    <row r="19">
      <c r="A19" t="inlineStr">
        <is>
          <t>Total Cost at EOQ ($):</t>
        </is>
      </c>
      <c r="B19" s="8">
        <f>SQRT(2*B6*B5*B14)</f>
        <v/>
      </c>
      <c r="C19" s="6" t="inlineStr">
        <is>
          <t>TC(EOQ) = SQRT(2*S*D*H)</t>
        </is>
      </c>
    </row>
    <row r="20">
      <c r="A20" t="inlineStr">
        <is>
          <t>Total Cost at Current Q ($):</t>
        </is>
      </c>
      <c r="B20" s="8">
        <f>B6*B5/B10+B14*B10/2</f>
        <v/>
      </c>
      <c r="C20" s="6" t="inlineStr">
        <is>
          <t>TC(Q) = S*D/Q + H*Q/2</t>
        </is>
      </c>
    </row>
    <row r="21">
      <c r="A21" t="inlineStr">
        <is>
          <t>Savings ($):</t>
        </is>
      </c>
      <c r="B21" s="8">
        <f>B20-B19</f>
        <v/>
      </c>
      <c r="C21" s="6" t="inlineStr">
        <is>
          <t>Savings = TC(current) - TC(EOQ)</t>
        </is>
      </c>
    </row>
    <row r="22">
      <c r="A22" t="inlineStr">
        <is>
          <t>Orders per Year:</t>
        </is>
      </c>
      <c r="B22" s="13">
        <f>B5/B18</f>
        <v/>
      </c>
      <c r="C22" s="6" t="inlineStr">
        <is>
          <t>Orders/yr = D/EOQ</t>
        </is>
      </c>
    </row>
    <row r="23">
      <c r="A23" t="inlineStr">
        <is>
          <t>Reorder Interval (days):</t>
        </is>
      </c>
      <c r="B23" s="13">
        <f>(B18/B5)*365</f>
        <v/>
      </c>
      <c r="C23" s="6" t="inlineStr">
        <is>
          <t>Interval = (EOQ/D) × 365</t>
        </is>
      </c>
    </row>
    <row r="26">
      <c r="A26" s="2" t="inlineStr">
        <is>
          <t>OPTION B - EOQ CONSOLIDATION</t>
        </is>
      </c>
    </row>
    <row r="28">
      <c r="A28" t="inlineStr">
        <is>
          <t>Number of Locations n:</t>
        </is>
      </c>
      <c r="B28" s="3" t="n">
        <v>2</v>
      </c>
    </row>
    <row r="29">
      <c r="A29" t="inlineStr">
        <is>
          <t>Demand per Location:</t>
        </is>
      </c>
      <c r="B29" s="3">
        <f>B5</f>
        <v/>
      </c>
    </row>
    <row r="30">
      <c r="A30" t="inlineStr">
        <is>
          <t>Ordering Cost S:</t>
        </is>
      </c>
      <c r="B30" s="3">
        <f>B6</f>
        <v/>
      </c>
    </row>
    <row r="31">
      <c r="A31" t="inlineStr">
        <is>
          <t>Holding Cost H:</t>
        </is>
      </c>
      <c r="B31" s="3">
        <f>B14</f>
        <v/>
      </c>
    </row>
    <row r="33">
      <c r="A33" t="inlineStr">
        <is>
          <t>Individual EOQ:</t>
        </is>
      </c>
      <c r="B33" s="13">
        <f>B18</f>
        <v/>
      </c>
    </row>
    <row r="34">
      <c r="A34" t="inlineStr">
        <is>
          <t>Individual Total Cost:</t>
        </is>
      </c>
      <c r="B34" s="8">
        <f>B19</f>
        <v/>
      </c>
    </row>
    <row r="35">
      <c r="A35" t="inlineStr">
        <is>
          <t>Combined EOQ:</t>
        </is>
      </c>
      <c r="B35" s="13">
        <f>SQRT(B28)*B33</f>
        <v/>
      </c>
      <c r="C35" s="6" t="inlineStr">
        <is>
          <t>Combined = SQRT(n) × Individual</t>
        </is>
      </c>
    </row>
    <row r="36">
      <c r="A36" t="inlineStr">
        <is>
          <t>Combined Total Cost:</t>
        </is>
      </c>
      <c r="B36" s="8">
        <f>SQRT(B28)*B34</f>
        <v/>
      </c>
      <c r="C36" s="6" t="inlineStr">
        <is>
          <t>Combined = SQRT(n) × Individual</t>
        </is>
      </c>
    </row>
    <row r="37">
      <c r="A37" t="inlineStr">
        <is>
          <t>% Savings from Consolidation:</t>
        </is>
      </c>
      <c r="B37" s="14">
        <f>(1-1/SQRT(B28))*100</f>
        <v/>
      </c>
      <c r="C37" s="6" t="inlineStr">
        <is>
          <t>% Savings = (1 - 1/SQRT(n)) × 100%</t>
        </is>
      </c>
    </row>
    <row r="40">
      <c r="A40" s="4" t="inlineStr">
        <is>
          <t>WORKED EXAMPLE - Retailer Shovel (Final Q2)</t>
        </is>
      </c>
    </row>
    <row r="42">
      <c r="A42" t="inlineStr">
        <is>
          <t>Data already filled in above. EOQ should ≈ 338, Consolidation → 29.3% savings</t>
        </is>
      </c>
    </row>
  </sheetData>
  <mergeCells count="2">
    <mergeCell ref="A1:E1"/>
    <mergeCell ref="A40:E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NEWSVENDOR CALCULATOR</t>
        </is>
      </c>
    </row>
    <row r="3">
      <c r="A3" s="2" t="inlineStr">
        <is>
          <t>OPTION A - STANDARD NEWSVENDOR</t>
        </is>
      </c>
    </row>
    <row r="5">
      <c r="A5" t="inlineStr">
        <is>
          <t>Mean Demand μ (units):</t>
        </is>
      </c>
      <c r="B5" s="3" t="n">
        <v>180</v>
      </c>
    </row>
    <row r="6">
      <c r="A6" t="inlineStr">
        <is>
          <t>Std Dev Demand σ (units):</t>
        </is>
      </c>
      <c r="B6" s="3" t="n">
        <v>65</v>
      </c>
    </row>
    <row r="7">
      <c r="A7" t="inlineStr">
        <is>
          <t>Cost ($/unit):</t>
        </is>
      </c>
      <c r="B7" s="3" t="n">
        <v>23</v>
      </c>
    </row>
    <row r="8">
      <c r="A8" t="inlineStr">
        <is>
          <t>Price ($/unit):</t>
        </is>
      </c>
      <c r="B8" s="3" t="n">
        <v>50</v>
      </c>
    </row>
    <row r="9">
      <c r="A9" t="inlineStr">
        <is>
          <t>Salvage Value ($/unit):</t>
        </is>
      </c>
      <c r="B9" s="3" t="n">
        <v>10</v>
      </c>
    </row>
    <row r="11">
      <c r="A11" s="2" t="inlineStr">
        <is>
          <t>INTERMEDIATE CALCULATIONS</t>
        </is>
      </c>
    </row>
    <row r="13">
      <c r="A13" t="inlineStr">
        <is>
          <t>Underage Cost Cu:</t>
        </is>
      </c>
      <c r="B13" s="5">
        <f>B8-B7</f>
        <v/>
      </c>
      <c r="C13" s="6" t="inlineStr">
        <is>
          <t>Cu = Price - Cost</t>
        </is>
      </c>
    </row>
    <row r="14">
      <c r="A14" t="inlineStr">
        <is>
          <t>Overage Cost Co:</t>
        </is>
      </c>
      <c r="B14" s="5">
        <f>B7-B9</f>
        <v/>
      </c>
      <c r="C14" s="6" t="inlineStr">
        <is>
          <t>Co = Cost - Salvage</t>
        </is>
      </c>
    </row>
    <row r="15">
      <c r="A15" t="inlineStr">
        <is>
          <t>Critical Fractile pc:</t>
        </is>
      </c>
      <c r="B15" s="10">
        <f>B13/(B13+B14)</f>
        <v/>
      </c>
      <c r="C15" s="6" t="inlineStr">
        <is>
          <t>pc = Cu/(Cu + Co)</t>
        </is>
      </c>
    </row>
    <row r="16">
      <c r="A16" t="inlineStr">
        <is>
          <t>Critical z-score z*:</t>
        </is>
      </c>
      <c r="B16" s="10">
        <f>NORM.S.INV(B15)</f>
        <v/>
      </c>
      <c r="C16" s="6" t="inlineStr">
        <is>
          <t>z* = NORM.S.INV(pc)</t>
        </is>
      </c>
    </row>
    <row r="18">
      <c r="A18" s="2" t="inlineStr">
        <is>
          <t>OUTPUTS</t>
        </is>
      </c>
    </row>
    <row r="20">
      <c r="A20" t="inlineStr">
        <is>
          <t>Optimal Order Quantity Q*:</t>
        </is>
      </c>
      <c r="B20" s="13">
        <f>B5+B16*B6</f>
        <v/>
      </c>
      <c r="C20" s="6" t="inlineStr">
        <is>
          <t>Q* = μ + z* × σ</t>
        </is>
      </c>
    </row>
    <row r="21">
      <c r="A21" t="inlineStr">
        <is>
          <t>Service Level:</t>
        </is>
      </c>
      <c r="B21" s="9">
        <f>B15</f>
        <v/>
      </c>
      <c r="C21" s="6" t="inlineStr">
        <is>
          <t>Service Level = pc</t>
        </is>
      </c>
    </row>
    <row r="22">
      <c r="A22" t="inlineStr">
        <is>
          <t>Stockout Probability:</t>
        </is>
      </c>
      <c r="B22" s="9">
        <f>1-B15</f>
        <v/>
      </c>
      <c r="C22" s="6" t="inlineStr">
        <is>
          <t>Stockout = 1 - pc</t>
        </is>
      </c>
    </row>
    <row r="25">
      <c r="A25" s="2" t="inlineStr">
        <is>
          <t>OPTION B - GIVEN Q, FIND SERVICE LEVEL</t>
        </is>
      </c>
    </row>
    <row r="27">
      <c r="A27" t="inlineStr">
        <is>
          <t>Order Quantity Q:</t>
        </is>
      </c>
      <c r="B27" s="3" t="n">
        <v>190</v>
      </c>
    </row>
    <row r="28">
      <c r="A28" t="inlineStr">
        <is>
          <t>z-score:</t>
        </is>
      </c>
      <c r="B28" s="15">
        <f>IF(B6&lt;&gt;0,(B27-B5)/B6,"")</f>
        <v/>
      </c>
      <c r="C28" s="6" t="inlineStr">
        <is>
          <t>z = (Q - μ)/σ</t>
        </is>
      </c>
    </row>
    <row r="29">
      <c r="A29" t="inlineStr">
        <is>
          <t>Service Level:</t>
        </is>
      </c>
      <c r="B29" s="9">
        <f>NORM.S.DIST(B28,TRUE)</f>
        <v/>
      </c>
      <c r="C29" s="6" t="inlineStr">
        <is>
          <t>Service Level = NORM.S.DIST(z, TRUE)</t>
        </is>
      </c>
    </row>
    <row r="30">
      <c r="A30" t="inlineStr">
        <is>
          <t>Stockout Probability:</t>
        </is>
      </c>
      <c r="B30" s="9">
        <f>1-B29</f>
        <v/>
      </c>
      <c r="C30" s="6" t="inlineStr">
        <is>
          <t>Stockout = 1 - Service Level</t>
        </is>
      </c>
    </row>
    <row r="33">
      <c r="A33" s="2" t="inlineStr">
        <is>
          <t>OPTION C - ZERO SALVAGE VARIANT</t>
        </is>
      </c>
    </row>
    <row r="35">
      <c r="A35" t="inlineStr">
        <is>
          <t>Mean Demand μ:</t>
        </is>
      </c>
      <c r="B35" s="3" t="inlineStr"/>
    </row>
    <row r="36">
      <c r="A36" t="inlineStr">
        <is>
          <t>Std Dev σ:</t>
        </is>
      </c>
      <c r="B36" s="3" t="inlineStr"/>
    </row>
    <row r="37">
      <c r="A37" t="inlineStr">
        <is>
          <t>Cost ($/unit):</t>
        </is>
      </c>
      <c r="B37" s="3" t="inlineStr"/>
    </row>
    <row r="38">
      <c r="A38" t="inlineStr">
        <is>
          <t>Price ($/unit):</t>
        </is>
      </c>
      <c r="B38" s="3" t="inlineStr"/>
    </row>
    <row r="39">
      <c r="A39" t="inlineStr">
        <is>
          <t>Salvage (hardcoded to 0):</t>
        </is>
      </c>
      <c r="B39" s="16" t="n">
        <v>0</v>
      </c>
    </row>
    <row r="41">
      <c r="A41" t="inlineStr">
        <is>
          <t>Critical Fractile:</t>
        </is>
      </c>
      <c r="B41" s="15">
        <f>IF(AND(B37&lt;&gt;"",B38&lt;&gt;""),(B38-B37)/(B38-B37+B37-B39),"")</f>
        <v/>
      </c>
      <c r="C41" s="6" t="inlineStr">
        <is>
          <t>pc = (P-C)/(P-C+C-0) = (P-C)/P</t>
        </is>
      </c>
    </row>
    <row r="42">
      <c r="A42" t="inlineStr">
        <is>
          <t>Optimal Q (zero salvage):</t>
        </is>
      </c>
      <c r="B42" s="13">
        <f>IF(AND(B35&lt;&gt;"",B36&lt;&gt;"",B41&lt;&gt;""),B35+NORM.S.INV(B41)*B36,"")</f>
        <v/>
      </c>
    </row>
    <row r="45">
      <c r="A45" s="4" t="inlineStr">
        <is>
          <t>WORKED EXAMPLE - Bookstore Soccer (Final Q3)</t>
        </is>
      </c>
    </row>
    <row r="47">
      <c r="A47" t="inlineStr">
        <is>
          <t>Data filled in Option A. Q* should ≈ 210 books</t>
        </is>
      </c>
    </row>
  </sheetData>
  <mergeCells count="2">
    <mergeCell ref="A45:E45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35" customWidth="1" min="7" max="7"/>
  </cols>
  <sheetData>
    <row r="1">
      <c r="A1" s="1" t="inlineStr">
        <is>
          <t>QUICK REFERENCE GUIDE</t>
        </is>
      </c>
    </row>
    <row r="3">
      <c r="A3" s="2" t="inlineStr">
        <is>
          <t>KEY FORMULAS BY TOPIC</t>
        </is>
      </c>
    </row>
    <row r="5">
      <c r="A5" s="4" t="inlineStr">
        <is>
          <t>Topic</t>
        </is>
      </c>
      <c r="B5" s="4" t="inlineStr">
        <is>
          <t>Formula</t>
        </is>
      </c>
      <c r="C5" s="4" t="inlineStr">
        <is>
          <t>Variables</t>
        </is>
      </c>
      <c r="D5" s="4" t="inlineStr"/>
      <c r="E5" s="4" t="inlineStr"/>
      <c r="F5" s="4" t="inlineStr"/>
      <c r="G5" s="4" t="inlineStr">
        <is>
          <t>Notes</t>
        </is>
      </c>
    </row>
    <row r="6">
      <c r="A6" s="2" t="inlineStr">
        <is>
          <t>Capacity Analysis</t>
        </is>
      </c>
      <c r="B6" t="inlineStr">
        <is>
          <t>Process Capacity = MIN(all station capacities)</t>
        </is>
      </c>
      <c r="C6" t="inlineStr"/>
      <c r="D6" t="inlineStr"/>
      <c r="E6" t="inlineStr"/>
      <c r="F6" t="inlineStr"/>
      <c r="G6" t="inlineStr">
        <is>
          <t>Bottleneck determines system capacity</t>
        </is>
      </c>
    </row>
    <row r="7">
      <c r="A7" t="inlineStr"/>
      <c r="B7" t="inlineStr">
        <is>
          <t>Flow Rate = MIN(demand, capacity)</t>
        </is>
      </c>
      <c r="C7" t="inlineStr"/>
      <c r="D7" t="inlineStr"/>
      <c r="E7" t="inlineStr"/>
      <c r="F7" t="inlineStr"/>
      <c r="G7" t="inlineStr">
        <is>
          <t>System operates at constraint</t>
        </is>
      </c>
    </row>
    <row r="8">
      <c r="A8" t="inlineStr"/>
      <c r="B8" t="inlineStr">
        <is>
          <t>Utilization = Flow Rate / Capacity</t>
        </is>
      </c>
      <c r="C8" t="inlineStr"/>
      <c r="D8" t="inlineStr"/>
      <c r="E8" t="inlineStr"/>
      <c r="F8" t="inlineStr"/>
      <c r="G8" t="inlineStr">
        <is>
          <t>% of time resource is busy</t>
        </is>
      </c>
    </row>
    <row r="9">
      <c r="A9" s="2" t="inlineStr">
        <is>
          <t>Little's Law</t>
        </is>
      </c>
      <c r="B9" t="inlineStr">
        <is>
          <t>WIP = TH × TT</t>
        </is>
      </c>
      <c r="C9" t="inlineStr"/>
      <c r="D9" t="inlineStr"/>
      <c r="E9" t="inlineStr"/>
      <c r="F9" t="inlineStr"/>
      <c r="G9" t="inlineStr">
        <is>
          <t>Fundamental flow relationship</t>
        </is>
      </c>
    </row>
    <row r="10">
      <c r="A10" s="2" t="inlineStr">
        <is>
          <t>Single Server Queue</t>
        </is>
      </c>
      <c r="B10" t="inlineStr">
        <is>
          <t>W = M × (ρ/(1-ρ)) × ((Ca²+Cs²)/2)</t>
        </is>
      </c>
      <c r="C10" t="inlineStr">
        <is>
          <t>M=service, ρ=util</t>
        </is>
      </c>
      <c r="D10" t="inlineStr">
        <is>
          <t>Ca=arrival CV</t>
        </is>
      </c>
      <c r="E10" t="inlineStr">
        <is>
          <t>Cs=service CV</t>
        </is>
      </c>
      <c r="F10" t="inlineStr"/>
      <c r="G10" t="inlineStr">
        <is>
          <t>P-K formula</t>
        </is>
      </c>
    </row>
    <row r="11">
      <c r="A11" t="inlineStr"/>
      <c r="B11" t="inlineStr">
        <is>
          <t>ρ = M/A</t>
        </is>
      </c>
      <c r="C11" t="inlineStr">
        <is>
          <t>A=interarrival</t>
        </is>
      </c>
      <c r="D11" t="inlineStr"/>
      <c r="E11" t="inlineStr"/>
      <c r="F11" t="inlineStr"/>
      <c r="G11" t="inlineStr">
        <is>
          <t>Utilization</t>
        </is>
      </c>
    </row>
    <row r="12">
      <c r="A12" s="2" t="inlineStr">
        <is>
          <t>Multi Server Queue</t>
        </is>
      </c>
      <c r="B12" t="inlineStr">
        <is>
          <t>W = (M/n) × (ρ^exp/(1-ρ)) × variance</t>
        </is>
      </c>
      <c r="C12" t="inlineStr">
        <is>
          <t>n=servers</t>
        </is>
      </c>
      <c r="D12" t="inlineStr">
        <is>
          <t>exp=SQRT(2(n+1))-1</t>
        </is>
      </c>
      <c r="E12" t="inlineStr"/>
      <c r="F12" t="inlineStr"/>
      <c r="G12" t="inlineStr">
        <is>
          <t>Multi-server P-K</t>
        </is>
      </c>
    </row>
    <row r="13">
      <c r="A13" t="inlineStr"/>
      <c r="B13" t="inlineStr">
        <is>
          <t>ρ = M/(n×A)</t>
        </is>
      </c>
      <c r="C13" t="inlineStr"/>
      <c r="D13" t="inlineStr"/>
      <c r="E13" t="inlineStr"/>
      <c r="F13" t="inlineStr"/>
      <c r="G13" t="inlineStr">
        <is>
          <t>System utilization</t>
        </is>
      </c>
    </row>
    <row r="14">
      <c r="A14" s="2" t="inlineStr">
        <is>
          <t>EOQ</t>
        </is>
      </c>
      <c r="B14" t="inlineStr">
        <is>
          <t>EOQ = SQRT(2SD/H)</t>
        </is>
      </c>
      <c r="C14" t="inlineStr">
        <is>
          <t>S=order cost</t>
        </is>
      </c>
      <c r="D14" t="inlineStr">
        <is>
          <t>D=demand</t>
        </is>
      </c>
      <c r="E14" t="inlineStr">
        <is>
          <t>H=hold cost</t>
        </is>
      </c>
      <c r="F14" t="inlineStr"/>
      <c r="G14" t="inlineStr">
        <is>
          <t>Optimal order quantity</t>
        </is>
      </c>
    </row>
    <row r="15">
      <c r="A15" t="inlineStr"/>
      <c r="B15" t="inlineStr">
        <is>
          <t>TC = SQRT(2SDH)</t>
        </is>
      </c>
      <c r="C15" t="inlineStr"/>
      <c r="D15" t="inlineStr"/>
      <c r="E15" t="inlineStr"/>
      <c r="F15" t="inlineStr"/>
      <c r="G15" t="inlineStr">
        <is>
          <t>Total cost at EOQ</t>
        </is>
      </c>
    </row>
    <row r="16">
      <c r="A16" t="inlineStr"/>
      <c r="B16" t="inlineStr">
        <is>
          <t>H = ic + h</t>
        </is>
      </c>
      <c r="C16" t="inlineStr">
        <is>
          <t>i=cost of capital</t>
        </is>
      </c>
      <c r="D16" t="inlineStr">
        <is>
          <t>c=unit cost</t>
        </is>
      </c>
      <c r="E16" t="inlineStr">
        <is>
          <t>h=physical</t>
        </is>
      </c>
      <c r="F16" t="inlineStr"/>
      <c r="G16" t="inlineStr">
        <is>
          <t>Total holding cost</t>
        </is>
      </c>
    </row>
    <row r="17">
      <c r="A17" s="2" t="inlineStr">
        <is>
          <t>Newsvendor</t>
        </is>
      </c>
      <c r="B17" t="inlineStr">
        <is>
          <t>Q* = μ + z* × σ</t>
        </is>
      </c>
      <c r="C17" t="inlineStr">
        <is>
          <t>μ=mean</t>
        </is>
      </c>
      <c r="D17" t="inlineStr">
        <is>
          <t>σ=std dev</t>
        </is>
      </c>
      <c r="E17" t="inlineStr">
        <is>
          <t>z*=NORM.S.INV(pc)</t>
        </is>
      </c>
      <c r="F17" t="inlineStr"/>
      <c r="G17" t="inlineStr">
        <is>
          <t>Optimal order quantity</t>
        </is>
      </c>
    </row>
    <row r="18">
      <c r="A18" t="inlineStr"/>
      <c r="B18" t="inlineStr">
        <is>
          <t>pc = Cu/(Cu + Co)</t>
        </is>
      </c>
      <c r="C18" t="inlineStr">
        <is>
          <t>Cu=underage</t>
        </is>
      </c>
      <c r="D18" t="inlineStr">
        <is>
          <t>Co=overage</t>
        </is>
      </c>
      <c r="E18" t="inlineStr"/>
      <c r="F18" t="inlineStr"/>
      <c r="G18" t="inlineStr">
        <is>
          <t>Critical fractile</t>
        </is>
      </c>
    </row>
    <row r="19">
      <c r="A19" t="inlineStr"/>
      <c r="B19" t="inlineStr">
        <is>
          <t>Cu = Price - Cost</t>
        </is>
      </c>
      <c r="C19" t="inlineStr">
        <is>
          <t>Co = Cost - Salvage</t>
        </is>
      </c>
      <c r="D19" t="inlineStr"/>
      <c r="E19" t="inlineStr"/>
      <c r="F19" t="inlineStr"/>
      <c r="G19" t="inlineStr">
        <is>
          <t>Cost definitions</t>
        </is>
      </c>
    </row>
    <row r="22">
      <c r="A22" s="2" t="inlineStr">
        <is>
          <t>EOQ vs NEWSVENDOR DECISION GUIDE</t>
        </is>
      </c>
    </row>
    <row r="24">
      <c r="A24" s="2" t="inlineStr">
        <is>
          <t>Use EOQ when:</t>
        </is>
      </c>
      <c r="B24" t="inlineStr">
        <is>
          <t>Repetitive ordering decisions</t>
        </is>
      </c>
      <c r="C24" t="inlineStr"/>
      <c r="D24" t="inlineStr"/>
      <c r="E24" t="inlineStr"/>
      <c r="F24" t="inlineStr"/>
      <c r="G24" t="inlineStr"/>
    </row>
    <row r="25">
      <c r="A25" t="inlineStr"/>
      <c r="B25" t="inlineStr">
        <is>
          <t>Demand is relatively stable</t>
        </is>
      </c>
      <c r="C25" t="inlineStr"/>
      <c r="D25" t="inlineStr"/>
      <c r="E25" t="inlineStr"/>
      <c r="F25" t="inlineStr"/>
      <c r="G25" t="inlineStr"/>
    </row>
    <row r="26">
      <c r="A26" t="inlineStr"/>
      <c r="B26" t="inlineStr">
        <is>
          <t>Long-term planning horizon</t>
        </is>
      </c>
      <c r="C26" t="inlineStr"/>
      <c r="D26" t="inlineStr"/>
      <c r="E26" t="inlineStr"/>
      <c r="F26" t="inlineStr"/>
      <c r="G26" t="inlineStr"/>
    </row>
    <row r="27">
      <c r="A27" t="inlineStr"/>
      <c r="B27" t="inlineStr">
        <is>
          <t>Focus on minimizing total cost</t>
        </is>
      </c>
      <c r="C27" t="inlineStr"/>
      <c r="D27" t="inlineStr"/>
      <c r="E27" t="inlineStr"/>
      <c r="F27" t="inlineStr"/>
      <c r="G27" t="inlineStr"/>
    </row>
    <row r="28">
      <c r="A28" s="2" t="inlineStr">
        <is>
          <t>Use Newsvendor when:</t>
        </is>
      </c>
      <c r="B28" t="inlineStr">
        <is>
          <t>One-time ordering decision</t>
        </is>
      </c>
      <c r="C28" t="inlineStr"/>
      <c r="D28" t="inlineStr"/>
      <c r="E28" t="inlineStr"/>
      <c r="F28" t="inlineStr"/>
      <c r="G28" t="inlineStr"/>
    </row>
    <row r="29">
      <c r="A29" t="inlineStr"/>
      <c r="B29" t="inlineStr">
        <is>
          <t>Uncertain demand (normal dist)</t>
        </is>
      </c>
      <c r="C29" t="inlineStr"/>
      <c r="D29" t="inlineStr"/>
      <c r="E29" t="inlineStr"/>
      <c r="F29" t="inlineStr"/>
      <c r="G29" t="inlineStr"/>
    </row>
    <row r="30">
      <c r="A30" t="inlineStr"/>
      <c r="B30" t="inlineStr">
        <is>
          <t>Short product lifecycle</t>
        </is>
      </c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Focus on service level vs stockout risk</t>
        </is>
      </c>
      <c r="C31" t="inlineStr"/>
      <c r="D31" t="inlineStr"/>
      <c r="E31" t="inlineStr"/>
      <c r="F31" t="inlineStr"/>
      <c r="G31" t="inlineStr"/>
    </row>
    <row r="34">
      <c r="A34" s="2" t="inlineStr">
        <is>
          <t>COMMON EXAM TRAPS</t>
        </is>
      </c>
    </row>
    <row r="36">
      <c r="A36" s="2" t="inlineStr">
        <is>
          <t>Capacity Analysis</t>
        </is>
      </c>
      <c r="B36" t="inlineStr">
        <is>
          <t>Don't forget setup times in batch calculations</t>
        </is>
      </c>
      <c r="C36" t="inlineStr"/>
      <c r="D36" t="inlineStr"/>
      <c r="E36" t="inlineStr"/>
      <c r="F36" t="inlineStr"/>
      <c r="G36" t="inlineStr"/>
    </row>
    <row r="37">
      <c r="A37" s="2" t="inlineStr">
        <is>
          <t>Queueing</t>
        </is>
      </c>
      <c r="B37" t="inlineStr">
        <is>
          <t>Check if ρ &lt; 1 (system must be stable)</t>
        </is>
      </c>
      <c r="C37" t="inlineStr"/>
      <c r="D37" t="inlineStr"/>
      <c r="E37" t="inlineStr"/>
      <c r="F37" t="inlineStr"/>
      <c r="G37" t="inlineStr"/>
    </row>
    <row r="38">
      <c r="A38" s="2" t="inlineStr">
        <is>
          <t>EOQ</t>
        </is>
      </c>
      <c r="B38" t="inlineStr">
        <is>
          <t>H = ic + h (not just ic)</t>
        </is>
      </c>
      <c r="C38" t="inlineStr"/>
      <c r="D38" t="inlineStr"/>
      <c r="E38" t="inlineStr"/>
      <c r="F38" t="inlineStr"/>
      <c r="G38" t="inlineStr"/>
    </row>
    <row r="39">
      <c r="A39" s="2" t="inlineStr">
        <is>
          <t>Newsvendor</t>
        </is>
      </c>
      <c r="B39" t="inlineStr">
        <is>
          <t>Use NORM.S.INV not NORM.INV for z-score</t>
        </is>
      </c>
      <c r="C39" t="inlineStr"/>
      <c r="D39" t="inlineStr"/>
      <c r="E39" t="inlineStr"/>
      <c r="F39" t="inlineStr"/>
      <c r="G39" t="inlineStr"/>
    </row>
    <row r="40">
      <c r="A40" s="2" t="inlineStr">
        <is>
          <t>Little's Law</t>
        </is>
      </c>
      <c r="B40" t="inlineStr">
        <is>
          <t>Make sure units are consistent</t>
        </is>
      </c>
      <c r="C40" t="inlineStr"/>
      <c r="D40" t="inlineStr"/>
      <c r="E40" t="inlineStr"/>
      <c r="F40" t="inlineStr"/>
      <c r="G40" t="inlineStr"/>
    </row>
    <row r="43">
      <c r="A43" s="2" t="inlineStr">
        <is>
          <t>Z-TABLE FOR NEWSVENDOR</t>
        </is>
      </c>
    </row>
    <row r="45">
      <c r="A45" s="4" t="inlineStr">
        <is>
          <t>Service Level pc</t>
        </is>
      </c>
      <c r="B45" s="4" t="inlineStr">
        <is>
          <t>50%</t>
        </is>
      </c>
      <c r="C45" s="4" t="inlineStr">
        <is>
          <t>60%</t>
        </is>
      </c>
      <c r="D45" s="4" t="inlineStr">
        <is>
          <t>67.5%</t>
        </is>
      </c>
      <c r="E45" s="4" t="inlineStr">
        <is>
          <t>70%</t>
        </is>
      </c>
      <c r="F45" s="4" t="inlineStr">
        <is>
          <t>75%</t>
        </is>
      </c>
      <c r="G45" s="4" t="inlineStr">
        <is>
          <t>80%</t>
        </is>
      </c>
    </row>
    <row r="46">
      <c r="A46" t="inlineStr">
        <is>
          <t>z* = NORM.S.INV(pc)</t>
        </is>
      </c>
      <c r="B46" s="17" t="n">
        <v>0</v>
      </c>
      <c r="C46" s="17" t="n">
        <v>0.253</v>
      </c>
      <c r="D46" s="17" t="n">
        <v>0.454</v>
      </c>
      <c r="E46" s="17" t="n">
        <v>0.524</v>
      </c>
      <c r="F46" s="17" t="n">
        <v>0.674</v>
      </c>
      <c r="G46" s="17" t="n">
        <v>0.842</v>
      </c>
    </row>
    <row r="47">
      <c r="A47" t="inlineStr"/>
      <c r="B47" s="4" t="inlineStr">
        <is>
          <t>85%</t>
        </is>
      </c>
      <c r="C47" s="4" t="inlineStr">
        <is>
          <t>90%</t>
        </is>
      </c>
      <c r="D47" s="4" t="inlineStr">
        <is>
          <t>95%</t>
        </is>
      </c>
      <c r="E47" s="4" t="inlineStr">
        <is>
          <t>99%</t>
        </is>
      </c>
      <c r="F47" t="inlineStr"/>
      <c r="G47" t="inlineStr"/>
    </row>
    <row r="48">
      <c r="B48" s="17" t="n">
        <v>1.036</v>
      </c>
      <c r="C48" s="17" t="n">
        <v>1.282</v>
      </c>
      <c r="D48" s="17" t="n">
        <v>1.645</v>
      </c>
      <c r="E48" s="17" t="n">
        <v>2.326</v>
      </c>
    </row>
  </sheetData>
  <mergeCells count="5">
    <mergeCell ref="A1:G1"/>
    <mergeCell ref="A3:G3"/>
    <mergeCell ref="A22:G22"/>
    <mergeCell ref="A34:G34"/>
    <mergeCell ref="A43:G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2026-03-11T05:04:01Z</dcterms:created>
  <dcterms:modified xmlns:dcterms="http://purl.org/dc/terms/" xmlns:xsi="http://www.w3.org/2001/XMLSchema-instance" xsi:type="dcterms:W3CDTF">2026-03-11T05:04:01Z</dcterms:modified>
</cp:coreProperties>
</file>