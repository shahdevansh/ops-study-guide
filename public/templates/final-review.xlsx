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  <sheet xmlns:r="http://schemas.openxmlformats.org/officeDocument/2006/relationships" name="Little's Law" sheetId="2" state="visible" r:id="rId2"/>
    <sheet xmlns:r="http://schemas.openxmlformats.org/officeDocument/2006/relationships" name="Queueing" sheetId="3" state="visible" r:id="rId3"/>
    <sheet xmlns:r="http://schemas.openxmlformats.org/officeDocument/2006/relationships" name="EOQ" sheetId="4" state="visible" r:id="rId4"/>
    <sheet xmlns:r="http://schemas.openxmlformats.org/officeDocument/2006/relationships" name="Newsvendor" sheetId="5" state="visible" r:id="rId5"/>
    <sheet xmlns:r="http://schemas.openxmlformats.org/officeDocument/2006/relationships" name="Strategy" sheetId="6" state="visible" r:id="rId6"/>
    <sheet xmlns:r="http://schemas.openxmlformats.org/officeDocument/2006/relationships" name="Normal 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ANALYSIS - QUICK REFERENCE</t>
        </is>
      </c>
    </row>
    <row r="3">
      <c r="A3" s="2" t="inlineStr">
        <is>
          <t>Bottleneck</t>
        </is>
      </c>
      <c r="C3" s="3" t="inlineStr">
        <is>
          <t>Resource with minimum capacity</t>
        </is>
      </c>
    </row>
    <row r="4">
      <c r="A4" s="2" t="inlineStr">
        <is>
          <t>Process Capacity</t>
        </is>
      </c>
      <c r="C4" s="3">
        <f> Bottleneck capacity</f>
        <v/>
      </c>
    </row>
    <row r="5">
      <c r="A5" s="2" t="inlineStr">
        <is>
          <t>Flow Rate</t>
        </is>
      </c>
      <c r="C5" s="3">
        <f> min(Demand Rate, Process Capacity)</f>
        <v/>
      </c>
    </row>
    <row r="6">
      <c r="A6" s="2" t="inlineStr">
        <is>
          <t>Utilization</t>
        </is>
      </c>
      <c r="C6" s="3">
        <f> Flow Rate / Capacity</f>
        <v/>
      </c>
    </row>
    <row r="7">
      <c r="A7" s="2" t="inlineStr">
        <is>
          <t>Cycle Time</t>
        </is>
      </c>
      <c r="C7" s="3">
        <f> 1 / Capacity (time per unit)</f>
        <v/>
      </c>
    </row>
    <row r="8">
      <c r="A8" s="2" t="inlineStr">
        <is>
          <t>Capacity</t>
        </is>
      </c>
      <c r="C8" s="3">
        <f> 1 / Cycle Time (units per time)</f>
        <v/>
      </c>
    </row>
    <row r="9">
      <c r="A9" s="2" t="inlineStr">
        <is>
          <t>Setup Effect</t>
        </is>
      </c>
      <c r="C9" s="3" t="inlineStr">
        <is>
          <t>Larger batches spread setup across more units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LITTLE'S LAW &amp; FACTORY PHYSICS</t>
        </is>
      </c>
    </row>
    <row r="3">
      <c r="A3" s="2" t="inlineStr">
        <is>
          <t>Little's Law</t>
        </is>
      </c>
      <c r="C3" s="3" t="inlineStr">
        <is>
          <t>WIP = Throughput Rate × Throughput Time</t>
        </is>
      </c>
    </row>
    <row r="4">
      <c r="A4" s="2" t="inlineStr">
        <is>
          <t>Solve for TH</t>
        </is>
      </c>
      <c r="C4" s="3" t="inlineStr">
        <is>
          <t>Throughput Rate = WIP / Throughput Time</t>
        </is>
      </c>
    </row>
    <row r="5">
      <c r="A5" s="2" t="inlineStr">
        <is>
          <t>Solve for CT</t>
        </is>
      </c>
      <c r="C5" s="3" t="inlineStr">
        <is>
          <t>Throughput Time = WIP / Throughput Rate</t>
        </is>
      </c>
    </row>
    <row r="6">
      <c r="A6" s="2" t="inlineStr">
        <is>
          <t>Buffer or Suffer</t>
        </is>
      </c>
      <c r="C6" s="3" t="inlineStr">
        <is>
          <t>Must hold WIP buffer OR accept reduced throughput</t>
        </is>
      </c>
    </row>
    <row r="7">
      <c r="A7" s="2" t="inlineStr">
        <is>
          <t>Variability Effect</t>
        </is>
      </c>
      <c r="C7" s="3" t="inlineStr">
        <is>
          <t>Variability decreases throughput rate</t>
        </is>
      </c>
    </row>
    <row r="8">
      <c r="A8" s="2" t="inlineStr">
        <is>
          <t>WIP-Throughput Tradeoff</t>
        </is>
      </c>
      <c r="C8" s="3" t="inlineStr">
        <is>
          <t>More WIP → Higher TH but longer CT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QUEUEING FORMULAS &amp; CONCEPTS</t>
        </is>
      </c>
    </row>
    <row r="3">
      <c r="A3" s="1" t="inlineStr">
        <is>
          <t>SINGLE SERVER</t>
        </is>
      </c>
    </row>
    <row r="4">
      <c r="A4" s="2" t="inlineStr">
        <is>
          <t>Utilization</t>
        </is>
      </c>
      <c r="C4" s="3" t="inlineStr">
        <is>
          <t>ρ = M/A = λ/μ (must be &lt; 1)</t>
        </is>
      </c>
    </row>
    <row r="5">
      <c r="A5" s="2" t="inlineStr">
        <is>
          <t>Ca (arrival CV)</t>
        </is>
      </c>
      <c r="C5" s="3" t="inlineStr">
        <is>
          <t>Ca = σa/A</t>
        </is>
      </c>
    </row>
    <row r="6">
      <c r="A6" s="2" t="inlineStr">
        <is>
          <t>Cs (service CV)</t>
        </is>
      </c>
      <c r="C6" s="3" t="inlineStr">
        <is>
          <t>Cs = σs/M</t>
        </is>
      </c>
    </row>
    <row r="7">
      <c r="A7" s="2" t="inlineStr">
        <is>
          <t>Wait time Wq</t>
        </is>
      </c>
      <c r="C7" s="3" t="inlineStr">
        <is>
          <t>W = M × [ρ/(1-ρ)] × [(Ca²+Cs²)/2]</t>
        </is>
      </c>
    </row>
    <row r="8">
      <c r="A8" s="2" t="inlineStr">
        <is>
          <t>Total time W</t>
        </is>
      </c>
      <c r="C8" s="3" t="inlineStr">
        <is>
          <t>W = Wq + M</t>
        </is>
      </c>
    </row>
    <row r="9">
      <c r="A9" s="2" t="inlineStr">
        <is>
          <t>Queue length Lq</t>
        </is>
      </c>
      <c r="C9" s="3" t="inlineStr">
        <is>
          <t>Lq = λ × Wq</t>
        </is>
      </c>
    </row>
    <row r="10">
      <c r="A10" s="2" t="inlineStr">
        <is>
          <t>System length L</t>
        </is>
      </c>
      <c r="C10" s="3" t="inlineStr">
        <is>
          <t>L = λ × W = λ × (Wq + M)</t>
        </is>
      </c>
    </row>
    <row r="12">
      <c r="A12" s="1" t="inlineStr">
        <is>
          <t>MULTI SERVER</t>
        </is>
      </c>
    </row>
    <row r="13">
      <c r="A13" s="2" t="inlineStr">
        <is>
          <t>System utilization</t>
        </is>
      </c>
      <c r="C13" s="3" t="inlineStr">
        <is>
          <t>ρ = M/(n×A)</t>
        </is>
      </c>
    </row>
    <row r="14">
      <c r="A14" s="2" t="inlineStr">
        <is>
          <t>Exponent</t>
        </is>
      </c>
      <c r="C14" s="3" t="inlineStr">
        <is>
          <t>√(2(n+1))-1</t>
        </is>
      </c>
    </row>
    <row r="15">
      <c r="A15" s="2" t="inlineStr">
        <is>
          <t>Wait time Wq</t>
        </is>
      </c>
      <c r="C15" s="3" t="inlineStr">
        <is>
          <t>W = (M/n) × [ρ^exp/(1-ρ)] × [(Ca²+Cs²)/2]</t>
        </is>
      </c>
    </row>
    <row r="16">
      <c r="A16" s="2" t="inlineStr">
        <is>
          <t>Utilization Effect</t>
        </is>
      </c>
      <c r="C16" s="3" t="inlineStr">
        <is>
          <t>ρ/(1-ρ) → ∞ as ρ → 1</t>
        </is>
      </c>
    </row>
    <row r="17">
      <c r="A17" s="2" t="inlineStr">
        <is>
          <t>Variance Effect</t>
        </is>
      </c>
      <c r="C17" s="3" t="inlineStr">
        <is>
          <t>(Ca²+Cs²)/2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ECONOMIC ORDER QUANTITY</t>
        </is>
      </c>
    </row>
    <row r="3">
      <c r="A3" s="2" t="inlineStr">
        <is>
          <t>EOQ Formula</t>
        </is>
      </c>
      <c r="C3" s="3" t="inlineStr">
        <is>
          <t>EOQ = √(2SD/H)</t>
        </is>
      </c>
    </row>
    <row r="4">
      <c r="A4" s="2" t="inlineStr">
        <is>
          <t>Holding Cost</t>
        </is>
      </c>
      <c r="C4" s="3" t="inlineStr">
        <is>
          <t>H = ic + h</t>
        </is>
      </c>
    </row>
    <row r="5">
      <c r="A5" s="2" t="inlineStr">
        <is>
          <t>Total Cost</t>
        </is>
      </c>
      <c r="C5" s="3" t="inlineStr">
        <is>
          <t>TC = S(D/Q) + H(Q/2)</t>
        </is>
      </c>
    </row>
    <row r="6">
      <c r="A6" s="2" t="inlineStr">
        <is>
          <t>At EOQ</t>
        </is>
      </c>
      <c r="C6" s="3" t="inlineStr">
        <is>
          <t>Ordering cost = Holding cost</t>
        </is>
      </c>
    </row>
    <row r="7">
      <c r="A7" s="2" t="inlineStr">
        <is>
          <t>Orders per year</t>
        </is>
      </c>
      <c r="C7" s="3" t="inlineStr">
        <is>
          <t>D/EOQ</t>
        </is>
      </c>
    </row>
    <row r="8">
      <c r="A8" s="2" t="inlineStr">
        <is>
          <t>% Savings</t>
        </is>
      </c>
      <c r="C8" s="3" t="inlineStr">
        <is>
          <t>(TC(Q) - TC(EOQ))/TC(Q)</t>
        </is>
      </c>
    </row>
    <row r="9">
      <c r="A9" s="2" t="inlineStr">
        <is>
          <t>Consolidation</t>
        </is>
      </c>
      <c r="C9" s="3" t="inlineStr">
        <is>
          <t>Combined EOQ = √(2S(D₁+D₂+...)/H)</t>
        </is>
      </c>
    </row>
    <row r="10">
      <c r="A10" s="2" t="inlineStr">
        <is>
          <t>EOQ Scaling</t>
        </is>
      </c>
      <c r="C10" s="3" t="inlineStr">
        <is>
          <t>EOQ scales by √n for n locations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NEWSVENDOR MODEL</t>
        </is>
      </c>
    </row>
    <row r="3">
      <c r="A3" s="2" t="inlineStr">
        <is>
          <t>Overage Cost</t>
        </is>
      </c>
      <c r="C3" s="3" t="inlineStr">
        <is>
          <t>Co = Cost - Salvage Value</t>
        </is>
      </c>
    </row>
    <row r="4">
      <c r="A4" s="2" t="inlineStr">
        <is>
          <t>Underage Cost</t>
        </is>
      </c>
      <c r="C4" s="3" t="inlineStr">
        <is>
          <t>Cu = Price - Cost</t>
        </is>
      </c>
    </row>
    <row r="5">
      <c r="A5" s="2" t="inlineStr">
        <is>
          <t>Critical Fractile</t>
        </is>
      </c>
      <c r="C5" s="3" t="inlineStr">
        <is>
          <t>pc = Cu/(Cu + Co)</t>
        </is>
      </c>
    </row>
    <row r="6">
      <c r="A6" s="2" t="inlineStr">
        <is>
          <t>Optimal Q*</t>
        </is>
      </c>
      <c r="C6" s="3" t="inlineStr">
        <is>
          <t>Q* = NORM.INV(pc, μ, σ)</t>
        </is>
      </c>
    </row>
    <row r="7">
      <c r="A7" s="2" t="inlineStr">
        <is>
          <t>Alternative Q*</t>
        </is>
      </c>
      <c r="C7" s="3" t="inlineStr">
        <is>
          <t>Q* = μ + z*σ where z* = NORM.S.INV(pc)</t>
        </is>
      </c>
    </row>
    <row r="8">
      <c r="A8" s="2" t="inlineStr">
        <is>
          <t>Service Level</t>
        </is>
      </c>
      <c r="C8" s="3" t="inlineStr">
        <is>
          <t>SL = NORM.DIST(Q, μ, σ, TRUE)</t>
        </is>
      </c>
    </row>
    <row r="9">
      <c r="A9" s="2" t="inlineStr">
        <is>
          <t>At Q*</t>
        </is>
      </c>
      <c r="C9" s="3" t="inlineStr">
        <is>
          <t>Service Level = Critical Fractile</t>
        </is>
      </c>
    </row>
    <row r="10">
      <c r="A10" s="2" t="inlineStr">
        <is>
          <t>Z-score</t>
        </is>
      </c>
      <c r="C10" s="3" t="inlineStr">
        <is>
          <t>z = (Q - μ)/σ</t>
        </is>
      </c>
    </row>
    <row r="11">
      <c r="A11" s="2" t="inlineStr">
        <is>
          <t>Postponement</t>
        </is>
      </c>
      <c r="C11" s="3" t="inlineStr">
        <is>
          <t>σ_total = σ × √n for n variants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OPERATIONS STRATEGY &amp; SUPPLY CHAIN</t>
        </is>
      </c>
    </row>
    <row r="3">
      <c r="A3" s="1" t="inlineStr">
        <is>
          <t>CQDF FRAMEWORK</t>
        </is>
      </c>
    </row>
    <row r="4">
      <c r="A4" s="2" t="inlineStr">
        <is>
          <t>Cost</t>
        </is>
      </c>
      <c r="C4" s="3" t="inlineStr">
        <is>
          <t>Lowest price/cost leadership</t>
        </is>
      </c>
    </row>
    <row r="5">
      <c r="A5" s="2" t="inlineStr">
        <is>
          <t>Quality</t>
        </is>
      </c>
      <c r="C5" s="3" t="inlineStr">
        <is>
          <t>Superior features/performance</t>
        </is>
      </c>
    </row>
    <row r="6">
      <c r="A6" s="2" t="inlineStr">
        <is>
          <t>Delivery</t>
        </is>
      </c>
      <c r="C6" s="3" t="inlineStr">
        <is>
          <t>Speed and reliability</t>
        </is>
      </c>
    </row>
    <row r="7">
      <c r="A7" s="2" t="inlineStr">
        <is>
          <t>Flexibility</t>
        </is>
      </c>
      <c r="C7" s="3" t="inlineStr">
        <is>
          <t>Customization and variety</t>
        </is>
      </c>
    </row>
    <row r="8">
      <c r="A8" s="2" t="inlineStr">
        <is>
          <t>Rule</t>
        </is>
      </c>
      <c r="C8" s="3" t="inlineStr">
        <is>
          <t>Cannot excel at all four simultaneously</t>
        </is>
      </c>
    </row>
    <row r="10">
      <c r="A10" s="1" t="inlineStr">
        <is>
          <t>FISHER MATRIX</t>
        </is>
      </c>
    </row>
    <row r="11">
      <c r="A11" s="2" t="inlineStr">
        <is>
          <t>Functional Products</t>
        </is>
      </c>
      <c r="C11" s="3" t="inlineStr">
        <is>
          <t>→ Efficient Supply Chain</t>
        </is>
      </c>
    </row>
    <row r="12">
      <c r="A12" s="2" t="inlineStr">
        <is>
          <t>Innovative Products</t>
        </is>
      </c>
      <c r="C12" s="3" t="inlineStr">
        <is>
          <t>→ Responsive Supply Chain</t>
        </is>
      </c>
    </row>
    <row r="13">
      <c r="A13" s="2" t="inlineStr">
        <is>
          <t>Mismatch penalty</t>
        </is>
      </c>
      <c r="C13" s="3" t="inlineStr">
        <is>
          <t>High costs or poor service</t>
        </is>
      </c>
    </row>
    <row r="14">
      <c r="A14" s="2" t="inlineStr">
        <is>
          <t>Efficient SC</t>
        </is>
      </c>
      <c r="C14" s="3" t="inlineStr">
        <is>
          <t>Low cost, lean, standardized</t>
        </is>
      </c>
    </row>
    <row r="15">
      <c r="A15" s="2" t="inlineStr">
        <is>
          <t>Responsive SC</t>
        </is>
      </c>
      <c r="C15" s="3" t="inlineStr">
        <is>
          <t>Fast, flexible, buffers</t>
        </is>
      </c>
    </row>
    <row r="17">
      <c r="A17" s="1" t="inlineStr">
        <is>
          <t>BULLWHIP EFFECT</t>
        </is>
      </c>
    </row>
    <row r="18">
      <c r="A18" s="2" t="inlineStr">
        <is>
          <t>Definition</t>
        </is>
      </c>
      <c r="C18" s="3" t="inlineStr">
        <is>
          <t>Order variability amplifies upstream</t>
        </is>
      </c>
    </row>
    <row r="19">
      <c r="A19" s="2" t="inlineStr">
        <is>
          <t>Causes</t>
        </is>
      </c>
      <c r="C19" s="3" t="inlineStr">
        <is>
          <t>Over-reaction, promotions, shortage gaming</t>
        </is>
      </c>
    </row>
    <row r="20">
      <c r="A20" s="2" t="inlineStr">
        <is>
          <t>Solutions</t>
        </is>
      </c>
      <c r="C20" s="3" t="inlineStr">
        <is>
          <t>EDLP, VMI, CPFR, information sharing</t>
        </is>
      </c>
    </row>
    <row r="21">
      <c r="A21" s="2" t="inlineStr">
        <is>
          <t>S&amp;OP</t>
        </is>
      </c>
      <c r="C21" s="3" t="inlineStr">
        <is>
          <t>Sales &amp; Operations Planning (internal)</t>
        </is>
      </c>
    </row>
    <row r="22">
      <c r="A22" s="2" t="inlineStr">
        <is>
          <t>CPFR</t>
        </is>
      </c>
      <c r="C22" s="3" t="inlineStr">
        <is>
          <t>Coordinated Planning, Forecasting, Replenishment</t>
        </is>
      </c>
    </row>
    <row r="23">
      <c r="A23" s="2" t="inlineStr">
        <is>
          <t>VMI</t>
        </is>
      </c>
      <c r="C23" s="3" t="inlineStr">
        <is>
          <t>Vendor Managed Inventory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NORMAL TABLE (Z-scores and Probabilities)</t>
        </is>
      </c>
    </row>
    <row r="3">
      <c r="A3" s="1" t="inlineStr">
        <is>
          <t>Z-score</t>
        </is>
      </c>
      <c r="B3" s="1" t="inlineStr">
        <is>
          <t>P(Z ≤ z)</t>
        </is>
      </c>
      <c r="C3" s="1" t="inlineStr">
        <is>
          <t>Z-score</t>
        </is>
      </c>
      <c r="D3" s="1" t="inlineStr">
        <is>
          <t>P(Z ≤ z)</t>
        </is>
      </c>
      <c r="E3" s="1" t="inlineStr">
        <is>
          <t>Z-score</t>
        </is>
      </c>
      <c r="F3" s="1" t="inlineStr">
        <is>
          <t>P(Z ≤ z)</t>
        </is>
      </c>
    </row>
    <row r="4">
      <c r="A4" s="2" t="inlineStr">
        <is>
          <t>-3.0</t>
        </is>
      </c>
      <c r="B4" s="3" t="inlineStr">
        <is>
          <t>0.0013</t>
        </is>
      </c>
      <c r="C4" s="2" t="inlineStr">
        <is>
          <t>-0.9</t>
        </is>
      </c>
      <c r="D4" s="3" t="inlineStr">
        <is>
          <t>0.1841</t>
        </is>
      </c>
      <c r="E4" s="2" t="inlineStr">
        <is>
          <t>1.1</t>
        </is>
      </c>
      <c r="F4" s="3" t="inlineStr">
        <is>
          <t>0.8643</t>
        </is>
      </c>
    </row>
    <row r="5">
      <c r="A5" s="2" t="inlineStr">
        <is>
          <t>-2.9</t>
        </is>
      </c>
      <c r="B5" s="3" t="inlineStr">
        <is>
          <t>0.0019</t>
        </is>
      </c>
      <c r="C5" s="2" t="inlineStr">
        <is>
          <t>-0.8</t>
        </is>
      </c>
      <c r="D5" s="3" t="inlineStr">
        <is>
          <t>0.2119</t>
        </is>
      </c>
      <c r="E5" s="2" t="inlineStr">
        <is>
          <t>1.2</t>
        </is>
      </c>
      <c r="F5" s="3" t="inlineStr">
        <is>
          <t>0.8849</t>
        </is>
      </c>
    </row>
    <row r="6">
      <c r="A6" s="2" t="inlineStr">
        <is>
          <t>-2.8</t>
        </is>
      </c>
      <c r="B6" s="3" t="inlineStr">
        <is>
          <t>0.0026</t>
        </is>
      </c>
      <c r="C6" s="2" t="inlineStr">
        <is>
          <t>-0.7</t>
        </is>
      </c>
      <c r="D6" s="3" t="inlineStr">
        <is>
          <t>0.2420</t>
        </is>
      </c>
      <c r="E6" s="2" t="inlineStr">
        <is>
          <t>1.3</t>
        </is>
      </c>
      <c r="F6" s="3" t="inlineStr">
        <is>
          <t>0.9032</t>
        </is>
      </c>
    </row>
    <row r="7">
      <c r="A7" s="2" t="inlineStr">
        <is>
          <t>-2.7</t>
        </is>
      </c>
      <c r="B7" s="3" t="inlineStr">
        <is>
          <t>0.0035</t>
        </is>
      </c>
      <c r="C7" s="2" t="inlineStr">
        <is>
          <t>-0.6</t>
        </is>
      </c>
      <c r="D7" s="3" t="inlineStr">
        <is>
          <t>0.2743</t>
        </is>
      </c>
      <c r="E7" s="2" t="inlineStr">
        <is>
          <t>1.4</t>
        </is>
      </c>
      <c r="F7" s="3" t="inlineStr">
        <is>
          <t>0.9192</t>
        </is>
      </c>
    </row>
    <row r="8">
      <c r="A8" s="2" t="inlineStr">
        <is>
          <t>-2.6</t>
        </is>
      </c>
      <c r="B8" s="3" t="inlineStr">
        <is>
          <t>0.0047</t>
        </is>
      </c>
      <c r="C8" s="2" t="inlineStr">
        <is>
          <t>-0.5</t>
        </is>
      </c>
      <c r="D8" s="3" t="inlineStr">
        <is>
          <t>0.3085</t>
        </is>
      </c>
      <c r="E8" s="2" t="inlineStr">
        <is>
          <t>1.5</t>
        </is>
      </c>
      <c r="F8" s="3" t="inlineStr">
        <is>
          <t>0.9332</t>
        </is>
      </c>
    </row>
    <row r="9">
      <c r="A9" s="2" t="inlineStr">
        <is>
          <t>-2.5</t>
        </is>
      </c>
      <c r="B9" s="3" t="inlineStr">
        <is>
          <t>0.0062</t>
        </is>
      </c>
      <c r="C9" s="2" t="inlineStr">
        <is>
          <t>-0.4</t>
        </is>
      </c>
      <c r="D9" s="3" t="inlineStr">
        <is>
          <t>0.3446</t>
        </is>
      </c>
      <c r="E9" s="2" t="inlineStr">
        <is>
          <t>1.6</t>
        </is>
      </c>
      <c r="F9" s="3" t="inlineStr">
        <is>
          <t>0.9452</t>
        </is>
      </c>
    </row>
    <row r="10">
      <c r="A10" s="2" t="inlineStr">
        <is>
          <t>-2.4</t>
        </is>
      </c>
      <c r="B10" s="3" t="inlineStr">
        <is>
          <t>0.0082</t>
        </is>
      </c>
      <c r="C10" s="2" t="inlineStr">
        <is>
          <t>-0.3</t>
        </is>
      </c>
      <c r="D10" s="3" t="inlineStr">
        <is>
          <t>0.3821</t>
        </is>
      </c>
      <c r="E10" s="2" t="inlineStr">
        <is>
          <t>1.7</t>
        </is>
      </c>
      <c r="F10" s="3" t="inlineStr">
        <is>
          <t>0.9554</t>
        </is>
      </c>
    </row>
    <row r="11">
      <c r="A11" s="2" t="inlineStr">
        <is>
          <t>-2.3</t>
        </is>
      </c>
      <c r="B11" s="3" t="inlineStr">
        <is>
          <t>0.0107</t>
        </is>
      </c>
      <c r="C11" s="2" t="inlineStr">
        <is>
          <t>-0.2</t>
        </is>
      </c>
      <c r="D11" s="3" t="inlineStr">
        <is>
          <t>0.4207</t>
        </is>
      </c>
      <c r="E11" s="2" t="inlineStr">
        <is>
          <t>1.8</t>
        </is>
      </c>
      <c r="F11" s="3" t="inlineStr">
        <is>
          <t>0.9641</t>
        </is>
      </c>
    </row>
    <row r="12">
      <c r="A12" s="2" t="inlineStr">
        <is>
          <t>-2.2</t>
        </is>
      </c>
      <c r="B12" s="3" t="inlineStr">
        <is>
          <t>0.0139</t>
        </is>
      </c>
      <c r="C12" s="2" t="inlineStr">
        <is>
          <t>-0.1</t>
        </is>
      </c>
      <c r="D12" s="3" t="inlineStr">
        <is>
          <t>0.4602</t>
        </is>
      </c>
      <c r="E12" s="2" t="inlineStr">
        <is>
          <t>1.9</t>
        </is>
      </c>
      <c r="F12" s="3" t="inlineStr">
        <is>
          <t>0.9713</t>
        </is>
      </c>
    </row>
    <row r="13">
      <c r="A13" s="2" t="inlineStr">
        <is>
          <t>-2.1</t>
        </is>
      </c>
      <c r="B13" s="3" t="inlineStr">
        <is>
          <t>0.0179</t>
        </is>
      </c>
      <c r="C13" s="2" t="inlineStr">
        <is>
          <t>0.0</t>
        </is>
      </c>
      <c r="D13" s="3" t="inlineStr">
        <is>
          <t>0.5000</t>
        </is>
      </c>
      <c r="E13" s="2" t="inlineStr">
        <is>
          <t>2.0</t>
        </is>
      </c>
      <c r="F13" s="3" t="inlineStr">
        <is>
          <t>0.9772</t>
        </is>
      </c>
    </row>
    <row r="14">
      <c r="A14" s="2" t="inlineStr">
        <is>
          <t>-2.0</t>
        </is>
      </c>
      <c r="B14" s="3" t="inlineStr">
        <is>
          <t>0.0228</t>
        </is>
      </c>
      <c r="C14" s="2" t="inlineStr">
        <is>
          <t>0.1</t>
        </is>
      </c>
      <c r="D14" s="3" t="inlineStr">
        <is>
          <t>0.5398</t>
        </is>
      </c>
      <c r="E14" s="2" t="inlineStr">
        <is>
          <t>2.1</t>
        </is>
      </c>
      <c r="F14" s="3" t="inlineStr">
        <is>
          <t>0.9821</t>
        </is>
      </c>
    </row>
    <row r="15">
      <c r="A15" s="2" t="inlineStr">
        <is>
          <t>-1.9</t>
        </is>
      </c>
      <c r="B15" s="3" t="inlineStr">
        <is>
          <t>0.0287</t>
        </is>
      </c>
      <c r="C15" s="2" t="inlineStr">
        <is>
          <t>0.2</t>
        </is>
      </c>
      <c r="D15" s="3" t="inlineStr">
        <is>
          <t>0.5793</t>
        </is>
      </c>
      <c r="E15" s="2" t="inlineStr">
        <is>
          <t>2.2</t>
        </is>
      </c>
      <c r="F15" s="3" t="inlineStr">
        <is>
          <t>0.9861</t>
        </is>
      </c>
    </row>
    <row r="16">
      <c r="A16" s="2" t="inlineStr">
        <is>
          <t>-1.8</t>
        </is>
      </c>
      <c r="B16" s="3" t="inlineStr">
        <is>
          <t>0.0359</t>
        </is>
      </c>
      <c r="C16" s="2" t="inlineStr">
        <is>
          <t>0.3</t>
        </is>
      </c>
      <c r="D16" s="3" t="inlineStr">
        <is>
          <t>0.6179</t>
        </is>
      </c>
      <c r="E16" s="2" t="inlineStr">
        <is>
          <t>2.3</t>
        </is>
      </c>
      <c r="F16" s="3" t="inlineStr">
        <is>
          <t>0.9893</t>
        </is>
      </c>
    </row>
    <row r="17">
      <c r="A17" s="2" t="inlineStr">
        <is>
          <t>-1.7</t>
        </is>
      </c>
      <c r="B17" s="3" t="inlineStr">
        <is>
          <t>0.0446</t>
        </is>
      </c>
      <c r="C17" s="2" t="inlineStr">
        <is>
          <t>0.4</t>
        </is>
      </c>
      <c r="D17" s="3" t="inlineStr">
        <is>
          <t>0.6554</t>
        </is>
      </c>
      <c r="E17" s="2" t="inlineStr">
        <is>
          <t>2.4</t>
        </is>
      </c>
      <c r="F17" s="3" t="inlineStr">
        <is>
          <t>0.9918</t>
        </is>
      </c>
    </row>
    <row r="18">
      <c r="A18" s="2" t="inlineStr">
        <is>
          <t>-1.6</t>
        </is>
      </c>
      <c r="B18" s="3" t="inlineStr">
        <is>
          <t>0.0548</t>
        </is>
      </c>
      <c r="C18" s="2" t="inlineStr">
        <is>
          <t>0.5</t>
        </is>
      </c>
      <c r="D18" s="3" t="inlineStr">
        <is>
          <t>0.6915</t>
        </is>
      </c>
      <c r="E18" s="2" t="inlineStr">
        <is>
          <t>2.5</t>
        </is>
      </c>
      <c r="F18" s="3" t="inlineStr">
        <is>
          <t>0.9938</t>
        </is>
      </c>
    </row>
    <row r="19">
      <c r="A19" s="2" t="inlineStr">
        <is>
          <t>-1.5</t>
        </is>
      </c>
      <c r="B19" s="3" t="inlineStr">
        <is>
          <t>0.0668</t>
        </is>
      </c>
      <c r="C19" s="2" t="inlineStr">
        <is>
          <t>0.6</t>
        </is>
      </c>
      <c r="D19" s="3" t="inlineStr">
        <is>
          <t>0.7257</t>
        </is>
      </c>
      <c r="E19" s="2" t="inlineStr">
        <is>
          <t>2.6</t>
        </is>
      </c>
      <c r="F19" s="3" t="inlineStr">
        <is>
          <t>0.9953</t>
        </is>
      </c>
    </row>
    <row r="20">
      <c r="A20" s="2" t="inlineStr">
        <is>
          <t>-1.4</t>
        </is>
      </c>
      <c r="B20" s="3" t="inlineStr">
        <is>
          <t>0.0808</t>
        </is>
      </c>
      <c r="C20" s="2" t="inlineStr">
        <is>
          <t>0.7</t>
        </is>
      </c>
      <c r="D20" s="3" t="inlineStr">
        <is>
          <t>0.7580</t>
        </is>
      </c>
      <c r="E20" s="2" t="inlineStr">
        <is>
          <t>2.7</t>
        </is>
      </c>
      <c r="F20" s="3" t="inlineStr">
        <is>
          <t>0.9965</t>
        </is>
      </c>
    </row>
    <row r="21">
      <c r="A21" s="2" t="inlineStr">
        <is>
          <t>-1.3</t>
        </is>
      </c>
      <c r="B21" s="3" t="inlineStr">
        <is>
          <t>0.0968</t>
        </is>
      </c>
      <c r="C21" s="2" t="inlineStr">
        <is>
          <t>0.8</t>
        </is>
      </c>
      <c r="D21" s="3" t="inlineStr">
        <is>
          <t>0.7881</t>
        </is>
      </c>
      <c r="E21" s="2" t="inlineStr">
        <is>
          <t>2.8</t>
        </is>
      </c>
      <c r="F21" s="3" t="inlineStr">
        <is>
          <t>0.9974</t>
        </is>
      </c>
    </row>
    <row r="22">
      <c r="A22" s="2" t="inlineStr">
        <is>
          <t>-1.2</t>
        </is>
      </c>
      <c r="B22" s="3" t="inlineStr">
        <is>
          <t>0.1151</t>
        </is>
      </c>
      <c r="C22" s="2" t="inlineStr">
        <is>
          <t>0.9</t>
        </is>
      </c>
      <c r="D22" s="3" t="inlineStr">
        <is>
          <t>0.8159</t>
        </is>
      </c>
      <c r="E22" s="2" t="inlineStr">
        <is>
          <t>2.9</t>
        </is>
      </c>
      <c r="F22" s="3" t="inlineStr">
        <is>
          <t>0.9981</t>
        </is>
      </c>
    </row>
    <row r="23">
      <c r="A23" s="2" t="inlineStr">
        <is>
          <t>-1.1</t>
        </is>
      </c>
      <c r="B23" s="3" t="inlineStr">
        <is>
          <t>0.1357</t>
        </is>
      </c>
      <c r="C23" s="2" t="inlineStr">
        <is>
          <t>1.0</t>
        </is>
      </c>
      <c r="D23" s="3" t="inlineStr">
        <is>
          <t>0.8413</t>
        </is>
      </c>
      <c r="E23" s="2" t="inlineStr">
        <is>
          <t>3.0</t>
        </is>
      </c>
      <c r="F23" s="3" t="inlineStr">
        <is>
          <t>0.9987</t>
        </is>
      </c>
    </row>
    <row r="24">
      <c r="A24" s="2" t="inlineStr">
        <is>
          <t>-1.0</t>
        </is>
      </c>
      <c r="B24" s="3" t="inlineStr">
        <is>
          <t>0.1587</t>
        </is>
      </c>
    </row>
    <row r="26">
      <c r="A26" s="1" t="inlineStr">
        <is>
          <t>COMMON VALUES</t>
        </is>
      </c>
    </row>
    <row r="27">
      <c r="A27" s="2" t="inlineStr">
        <is>
          <t>90% service level</t>
        </is>
      </c>
      <c r="C27" s="3" t="inlineStr">
        <is>
          <t>z = 1.28</t>
        </is>
      </c>
    </row>
    <row r="28">
      <c r="A28" s="2" t="inlineStr">
        <is>
          <t>95% service level</t>
        </is>
      </c>
      <c r="C28" s="3" t="inlineStr">
        <is>
          <t>z = 1.65</t>
        </is>
      </c>
    </row>
    <row r="29">
      <c r="A29" s="2" t="inlineStr">
        <is>
          <t>99% service level</t>
        </is>
      </c>
      <c r="C29" s="3" t="inlineStr">
        <is>
          <t>z = 2.33</t>
        </is>
      </c>
    </row>
    <row r="30">
      <c r="A30" s="2" t="inlineStr">
        <is>
          <t>Critical fractile 0.6</t>
        </is>
      </c>
      <c r="C30" s="3" t="inlineStr">
        <is>
          <t>z = 0.25</t>
        </is>
      </c>
    </row>
    <row r="31">
      <c r="A31" s="2" t="inlineStr">
        <is>
          <t>Critical fractile 0.7</t>
        </is>
      </c>
      <c r="C31" s="3" t="inlineStr">
        <is>
          <t>z = 0.52</t>
        </is>
      </c>
    </row>
    <row r="32">
      <c r="A32" s="2" t="inlineStr">
        <is>
          <t>Critical fractile 0.8</t>
        </is>
      </c>
      <c r="C32" s="3" t="inlineStr">
        <is>
          <t>z = 0.84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