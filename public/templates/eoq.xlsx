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Q Model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Conso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5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ECONOMIC ORDER QUANTITY (EOQ) MODEL</t>
        </is>
      </c>
    </row>
    <row r="3">
      <c r="A3" s="2" t="inlineStr">
        <is>
          <t>Instructions: Enter parameters in yellow cells. EOQ and total costs calculated automatically.</t>
        </is>
      </c>
    </row>
    <row r="5">
      <c r="A5" s="1" t="inlineStr">
        <is>
          <t>PARAMETERS</t>
        </is>
      </c>
    </row>
    <row r="6">
      <c r="A6" t="inlineStr">
        <is>
          <t>D (annual demand)</t>
        </is>
      </c>
      <c r="B6" t="inlineStr">
        <is>
          <t>units/year</t>
        </is>
      </c>
      <c r="C6" s="3" t="n"/>
    </row>
    <row r="7">
      <c r="A7" t="inlineStr">
        <is>
          <t>S (ordering cost)</t>
        </is>
      </c>
      <c r="B7" t="inlineStr">
        <is>
          <t>$/order</t>
        </is>
      </c>
      <c r="C7" s="3" t="n"/>
    </row>
    <row r="8">
      <c r="A8" t="inlineStr">
        <is>
          <t>c (unit cost)</t>
        </is>
      </c>
      <c r="B8" t="inlineStr">
        <is>
          <t>$/unit</t>
        </is>
      </c>
      <c r="C8" s="3" t="n"/>
    </row>
    <row r="9">
      <c r="A9" t="inlineStr">
        <is>
          <t>i (cost of capital)</t>
        </is>
      </c>
      <c r="B9" t="inlineStr">
        <is>
          <t>% (as decimal)</t>
        </is>
      </c>
      <c r="C9" s="3" t="n"/>
    </row>
    <row r="10">
      <c r="A10" t="inlineStr">
        <is>
          <t>h (physical holding cost)</t>
        </is>
      </c>
      <c r="B10" t="inlineStr">
        <is>
          <t>$/unit/year</t>
        </is>
      </c>
      <c r="C10" s="3" t="n"/>
    </row>
    <row r="12">
      <c r="A12" s="1" t="inlineStr">
        <is>
          <t>CALCULATIONS</t>
        </is>
      </c>
    </row>
    <row r="13">
      <c r="A13" t="inlineStr">
        <is>
          <t>H (total holding cost)</t>
        </is>
      </c>
      <c r="C13" s="4">
        <f>C11*C10+C12</f>
        <v/>
      </c>
      <c r="E13" s="2" t="inlineStr">
        <is>
          <t>H = i×c + h</t>
        </is>
      </c>
    </row>
    <row r="14">
      <c r="A14" t="inlineStr">
        <is>
          <t>EOQ (optimal order quantity)</t>
        </is>
      </c>
      <c r="C14" s="4">
        <f>SQRT(2*C8*C9/C13)</f>
        <v/>
      </c>
      <c r="E14" s="2" t="inlineStr">
        <is>
          <t>EOQ = √(2×S×D/H)</t>
        </is>
      </c>
    </row>
    <row r="15">
      <c r="A15" t="inlineStr">
        <is>
          <t>TC(EOQ) (total cost at EOQ)</t>
        </is>
      </c>
      <c r="C15" s="4">
        <f>C9*(C8/C14)+C13*(C14/2)</f>
        <v/>
      </c>
      <c r="E15" s="2" t="inlineStr">
        <is>
          <t>TC = S×(D/EOQ) + H×(EOQ/2)</t>
        </is>
      </c>
    </row>
    <row r="16">
      <c r="A16" t="inlineStr">
        <is>
          <t>Orders per year</t>
        </is>
      </c>
      <c r="C16" s="4">
        <f>C8/C14</f>
        <v/>
      </c>
      <c r="E16" s="2" t="inlineStr">
        <is>
          <t>D/EOQ</t>
        </is>
      </c>
    </row>
    <row r="18">
      <c r="A18" s="1" t="inlineStr">
        <is>
          <t>COST CALCULATOR FOR ANY Q</t>
        </is>
      </c>
    </row>
    <row r="19">
      <c r="A19" t="inlineStr">
        <is>
          <t>Enter Q to test:</t>
        </is>
      </c>
      <c r="C19" s="3" t="n"/>
    </row>
    <row r="20">
      <c r="A20" t="inlineStr">
        <is>
          <t>TC(Q) at this quantity:</t>
        </is>
      </c>
      <c r="C20" s="4">
        <f>C11*(C9/C19)+C14*(C19/2)</f>
        <v/>
      </c>
    </row>
  </sheetData>
  <mergeCells count="2">
    <mergeCell ref="A1:F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EOQ SENSITIVITY &amp; SAVINGS ANALYSIS</t>
        </is>
      </c>
    </row>
    <row r="3">
      <c r="A3" s="2" t="inlineStr">
        <is>
          <t>Instructions: Enter current Q and optimal EOQ to see savings from using EOQ.</t>
        </is>
      </c>
    </row>
    <row r="5">
      <c r="A5" t="inlineStr">
        <is>
          <t>Current order quantity (Q)</t>
        </is>
      </c>
      <c r="B5" t="inlineStr">
        <is>
          <t>units</t>
        </is>
      </c>
      <c r="C5" s="3" t="n"/>
    </row>
    <row r="6">
      <c r="A6" t="inlineStr">
        <is>
          <t>Optimal EOQ</t>
        </is>
      </c>
      <c r="B6" t="inlineStr">
        <is>
          <t>units</t>
        </is>
      </c>
      <c r="C6" s="3" t="n"/>
    </row>
    <row r="7">
      <c r="A7" t="inlineStr">
        <is>
          <t>D (annual demand)</t>
        </is>
      </c>
      <c r="B7" t="inlineStr">
        <is>
          <t>units/year</t>
        </is>
      </c>
      <c r="C7" s="3" t="n"/>
    </row>
    <row r="8">
      <c r="A8" t="inlineStr">
        <is>
          <t>S (ordering cost)</t>
        </is>
      </c>
      <c r="B8" t="inlineStr">
        <is>
          <t>$/order</t>
        </is>
      </c>
      <c r="C8" s="3" t="n"/>
    </row>
    <row r="9">
      <c r="A9" t="inlineStr">
        <is>
          <t>H (holding cost)</t>
        </is>
      </c>
      <c r="B9" t="inlineStr">
        <is>
          <t>$/unit/year</t>
        </is>
      </c>
      <c r="C9" s="3" t="n"/>
    </row>
    <row r="11">
      <c r="A11" s="1" t="inlineStr">
        <is>
          <t>RESULTS</t>
        </is>
      </c>
    </row>
    <row r="12">
      <c r="A12" t="inlineStr">
        <is>
          <t>TC(current Q)</t>
        </is>
      </c>
      <c r="C12" s="4">
        <f>C9*(C10/C6)+C11*(C6/2)</f>
        <v/>
      </c>
      <c r="E12" s="2" t="inlineStr">
        <is>
          <t>S×(D/Q) + H×(Q/2)</t>
        </is>
      </c>
    </row>
    <row r="13">
      <c r="A13" t="inlineStr">
        <is>
          <t>TC(EOQ)</t>
        </is>
      </c>
      <c r="C13" s="4">
        <f>C9*(C10/C7)+C11*(C7/2)</f>
        <v/>
      </c>
      <c r="E13" s="2" t="inlineStr">
        <is>
          <t>S×(D/EOQ) + H×(EOQ/2)</t>
        </is>
      </c>
    </row>
    <row r="14">
      <c r="A14" t="inlineStr">
        <is>
          <t>$ Savings</t>
        </is>
      </c>
      <c r="C14" s="4">
        <f>C10-C11</f>
        <v/>
      </c>
      <c r="E14" s="2" t="inlineStr">
        <is>
          <t>TC(Q) - TC(EOQ)</t>
        </is>
      </c>
    </row>
    <row r="15">
      <c r="A15" t="inlineStr">
        <is>
          <t>% Savings</t>
        </is>
      </c>
      <c r="C15" s="4">
        <f>(C9-C10)/C9*100</f>
        <v/>
      </c>
      <c r="E15" s="2" t="inlineStr">
        <is>
          <t>(TC(Q) - TC(EOQ))/TC(Q)×100%</t>
        </is>
      </c>
    </row>
  </sheetData>
  <mergeCells count="2">
    <mergeCell ref="A1:E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EOQ CONSOLIDATION EFFECT</t>
        </is>
      </c>
    </row>
    <row r="3">
      <c r="A3" s="2" t="inlineStr">
        <is>
          <t>Instructions: Compare separate locations vs. consolidated single location.</t>
        </is>
      </c>
    </row>
    <row r="5">
      <c r="A5" s="1" t="inlineStr">
        <is>
          <t>COMMON PARAMETERS</t>
        </is>
      </c>
    </row>
    <row r="6">
      <c r="A6" t="inlineStr">
        <is>
          <t>S (ordering cost)</t>
        </is>
      </c>
      <c r="B6" t="inlineStr">
        <is>
          <t>$/order</t>
        </is>
      </c>
      <c r="C6" s="3" t="n"/>
    </row>
    <row r="7">
      <c r="A7" t="inlineStr">
        <is>
          <t>H (holding cost)</t>
        </is>
      </c>
      <c r="B7" t="inlineStr">
        <is>
          <t>$/unit/year</t>
        </is>
      </c>
      <c r="C7" s="3" t="n"/>
    </row>
    <row r="8">
      <c r="A8" t="inlineStr">
        <is>
          <t>Number of locations (n)</t>
        </is>
      </c>
      <c r="B8" t="inlineStr">
        <is>
          <t>locations</t>
        </is>
      </c>
      <c r="C8" s="3" t="n"/>
    </row>
    <row r="10">
      <c r="A10" s="1" t="inlineStr">
        <is>
          <t>INDIVIDUAL LOCATIONS</t>
        </is>
      </c>
    </row>
    <row r="11">
      <c r="A11" s="1" t="inlineStr">
        <is>
          <t>Location</t>
        </is>
      </c>
      <c r="B11" s="1" t="inlineStr">
        <is>
          <t>Demand Di</t>
        </is>
      </c>
      <c r="C11" s="1" t="inlineStr">
        <is>
          <t>EOQ Individual</t>
        </is>
      </c>
      <c r="D11" s="1" t="inlineStr">
        <is>
          <t>TC Individual</t>
        </is>
      </c>
    </row>
    <row r="12">
      <c r="A12" s="5" t="inlineStr">
        <is>
          <t>Location 1</t>
        </is>
      </c>
      <c r="B12" s="3" t="n"/>
      <c r="C12" s="4">
        <f>SQRT(2*C5*B12/C6)</f>
        <v/>
      </c>
      <c r="D12" s="4">
        <f>C5*(B12/C12)+C6*(C12/2)</f>
        <v/>
      </c>
    </row>
    <row r="13">
      <c r="A13" s="5" t="inlineStr">
        <is>
          <t>Location 2</t>
        </is>
      </c>
      <c r="B13" s="3" t="n"/>
      <c r="C13" s="4">
        <f>SQRT(2*C5*B13/C6)</f>
        <v/>
      </c>
      <c r="D13" s="4">
        <f>C5*(B13/C13)+C6*(C13/2)</f>
        <v/>
      </c>
    </row>
    <row r="14">
      <c r="A14" s="5" t="inlineStr">
        <is>
          <t>Location 3</t>
        </is>
      </c>
      <c r="B14" s="3" t="n"/>
      <c r="C14" s="4">
        <f>SQRT(2*C5*B14/C6)</f>
        <v/>
      </c>
      <c r="D14" s="4">
        <f>C5*(B14/C14)+C6*(C14/2)</f>
        <v/>
      </c>
    </row>
    <row r="16">
      <c r="A16" s="1" t="inlineStr">
        <is>
          <t>CONSOLIDATED SINGLE LOCATION</t>
        </is>
      </c>
    </row>
    <row r="17">
      <c r="A17" t="inlineStr">
        <is>
          <t>Total Demand</t>
        </is>
      </c>
      <c r="C17" s="4">
        <f>SUM(B13:B15)</f>
        <v/>
      </c>
    </row>
    <row r="18">
      <c r="A18" t="inlineStr">
        <is>
          <t>Combined EOQ</t>
        </is>
      </c>
      <c r="C18" s="4">
        <f>SQRT(2*C9*C17/C10)</f>
        <v/>
      </c>
    </row>
    <row r="19">
      <c r="A19" t="inlineStr">
        <is>
          <t>Combined TC</t>
        </is>
      </c>
      <c r="C19" s="4">
        <f>C9*(C16/C17)+C10*(C17/2)</f>
        <v/>
      </c>
    </row>
    <row r="20">
      <c r="A20" t="inlineStr">
        <is>
          <t>Total TC (separate)</t>
        </is>
      </c>
      <c r="C20" s="4">
        <f>SUM(D13:D15)</f>
        <v/>
      </c>
    </row>
    <row r="21">
      <c r="A21" t="inlineStr">
        <is>
          <t>Savings from consolidation</t>
        </is>
      </c>
      <c r="C21" s="4">
        <f>C16-C15</f>
        <v/>
      </c>
    </row>
    <row r="22">
      <c r="A22" t="inlineStr">
        <is>
          <t>% Savings</t>
        </is>
      </c>
      <c r="C22" s="4">
        <f>C16/C15*100</f>
        <v/>
      </c>
    </row>
  </sheetData>
  <mergeCells count="2">
    <mergeCell ref="A1:F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2026-03-10T23:37:26Z</dcterms:created>
  <dcterms:modified xmlns:dcterms="http://purl.org/dc/terms/" xmlns:xsi="http://www.w3.org/2001/XMLSchema-instance" xsi:type="dcterms:W3CDTF">2026-03-10T23:37:26Z</dcterms:modified>
</cp:coreProperties>
</file>