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 Server" sheetId="1" state="visible" r:id="rId1"/>
    <sheet xmlns:r="http://schemas.openxmlformats.org/officeDocument/2006/relationships" name="Multi Server" sheetId="2" state="visible" r:id="rId2"/>
    <sheet xmlns:r="http://schemas.openxmlformats.org/officeDocument/2006/relationships" name="Hanover Post Off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SINGLE SERVER QUEUEING (M/M/1 with variability)</t>
        </is>
      </c>
    </row>
    <row r="3">
      <c r="A3" s="2" t="inlineStr">
        <is>
          <t>Instructions: Fill yellow inputs. Green shows results. Red text shows Excel formulas.</t>
        </is>
      </c>
    </row>
    <row r="5">
      <c r="A5" s="1" t="inlineStr">
        <is>
          <t>INPUTS</t>
        </is>
      </c>
    </row>
    <row r="6">
      <c r="A6" t="inlineStr">
        <is>
          <t>Mean interarrival time (A)</t>
        </is>
      </c>
      <c r="B6" t="inlineStr">
        <is>
          <t>minutes</t>
        </is>
      </c>
      <c r="C6" s="3" t="n"/>
    </row>
    <row r="7">
      <c r="A7" t="inlineStr">
        <is>
          <t>Std dev arrivals (σa)</t>
        </is>
      </c>
      <c r="B7" t="inlineStr">
        <is>
          <t>minutes</t>
        </is>
      </c>
      <c r="C7" s="3" t="n"/>
    </row>
    <row r="8">
      <c r="A8" t="inlineStr">
        <is>
          <t>Mean service time (M)</t>
        </is>
      </c>
      <c r="B8" t="inlineStr">
        <is>
          <t>minutes</t>
        </is>
      </c>
      <c r="C8" s="3" t="n"/>
    </row>
    <row r="9">
      <c r="A9" t="inlineStr">
        <is>
          <t>Std dev service (σs)</t>
        </is>
      </c>
      <c r="B9" t="inlineStr">
        <is>
          <t>minutes</t>
        </is>
      </c>
      <c r="C9" s="3" t="n"/>
    </row>
    <row r="11">
      <c r="A11" s="1" t="inlineStr">
        <is>
          <t>CALCULATIONS</t>
        </is>
      </c>
    </row>
    <row r="12">
      <c r="A12" t="inlineStr">
        <is>
          <t>Ca = σa/A</t>
        </is>
      </c>
      <c r="C12" s="4">
        <f>C8/C7</f>
        <v/>
      </c>
      <c r="E12" s="2">
        <f>C8/C7</f>
        <v/>
      </c>
    </row>
    <row r="13">
      <c r="A13" t="inlineStr">
        <is>
          <t>Cs = σs/M</t>
        </is>
      </c>
      <c r="C13" s="4">
        <f>C10/C9</f>
        <v/>
      </c>
      <c r="E13" s="2">
        <f>C10/C9</f>
        <v/>
      </c>
    </row>
    <row r="14">
      <c r="A14" t="inlineStr">
        <is>
          <t>ρ = M/A (must be &lt; 1!)</t>
        </is>
      </c>
      <c r="C14" s="4">
        <f>C9/C7</f>
        <v/>
      </c>
      <c r="E14" s="2">
        <f>C9/C7</f>
        <v/>
      </c>
    </row>
    <row r="15">
      <c r="A15" t="inlineStr">
        <is>
          <t>λ = 1/A (arrival rate)</t>
        </is>
      </c>
      <c r="C15" s="4">
        <f>1/C7</f>
        <v/>
      </c>
      <c r="E15" s="2">
        <f>1/C7</f>
        <v/>
      </c>
    </row>
    <row r="17">
      <c r="A17" s="1" t="inlineStr">
        <is>
          <t>RESULTS</t>
        </is>
      </c>
    </row>
    <row r="18">
      <c r="A18" t="inlineStr">
        <is>
          <t>Wq (wait time in queue)</t>
        </is>
      </c>
      <c r="C18" s="4">
        <f>C12*(C14/(1-C14))*((C13^2+C15^2)/2)</f>
        <v/>
      </c>
      <c r="E18" s="2" t="inlineStr">
        <is>
          <t>M × [ρ/(1-ρ)] × [(Ca²+Cs²)/2]</t>
        </is>
      </c>
    </row>
    <row r="19">
      <c r="A19" t="inlineStr">
        <is>
          <t>W (total time in system)</t>
        </is>
      </c>
      <c r="C19" s="4">
        <f>C18+C12</f>
        <v/>
      </c>
      <c r="E19" s="2" t="inlineStr">
        <is>
          <t>Wq + M</t>
        </is>
      </c>
    </row>
    <row r="20">
      <c r="A20" t="inlineStr">
        <is>
          <t>Lq (number in queue)</t>
        </is>
      </c>
      <c r="C20" s="4">
        <f>C15*C17</f>
        <v/>
      </c>
      <c r="E20" s="2" t="inlineStr">
        <is>
          <t>λ × Wq</t>
        </is>
      </c>
    </row>
    <row r="21">
      <c r="A21" t="inlineStr">
        <is>
          <t>L (number in system)</t>
        </is>
      </c>
      <c r="C21" s="4">
        <f>C15*C17</f>
        <v/>
      </c>
      <c r="E21" s="2" t="inlineStr">
        <is>
          <t>λ × W</t>
        </is>
      </c>
    </row>
    <row r="22">
      <c r="A22" t="inlineStr">
        <is>
          <t>WIP = L</t>
        </is>
      </c>
      <c r="C22" s="4">
        <f>C17</f>
        <v/>
      </c>
      <c r="E22" s="2" t="inlineStr">
        <is>
          <t>L</t>
        </is>
      </c>
    </row>
  </sheetData>
  <mergeCells count="5">
    <mergeCell ref="A11:F11"/>
    <mergeCell ref="A1:F1"/>
    <mergeCell ref="A5:F5"/>
    <mergeCell ref="A3:J3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 SERVER QUEUEING (n servers)</t>
        </is>
      </c>
    </row>
    <row r="3">
      <c r="A3" s="2" t="inlineStr">
        <is>
          <t>Instructions: Same inputs as single server, plus number of servers.</t>
        </is>
      </c>
    </row>
    <row r="5">
      <c r="A5" s="1" t="inlineStr">
        <is>
          <t>INPUTS</t>
        </is>
      </c>
    </row>
    <row r="6">
      <c r="A6" t="inlineStr">
        <is>
          <t>Mean interarrival time (A)</t>
        </is>
      </c>
      <c r="B6" t="inlineStr">
        <is>
          <t>minutes</t>
        </is>
      </c>
      <c r="C6" s="3" t="n"/>
    </row>
    <row r="7">
      <c r="A7" t="inlineStr">
        <is>
          <t>Std dev arrivals (σa)</t>
        </is>
      </c>
      <c r="B7" t="inlineStr">
        <is>
          <t>minutes</t>
        </is>
      </c>
      <c r="C7" s="3" t="n"/>
    </row>
    <row r="8">
      <c r="A8" t="inlineStr">
        <is>
          <t>Mean service time (M)</t>
        </is>
      </c>
      <c r="B8" t="inlineStr">
        <is>
          <t>minutes</t>
        </is>
      </c>
      <c r="C8" s="3" t="n"/>
    </row>
    <row r="9">
      <c r="A9" t="inlineStr">
        <is>
          <t>Std dev service (σs)</t>
        </is>
      </c>
      <c r="B9" t="inlineStr">
        <is>
          <t>minutes</t>
        </is>
      </c>
      <c r="C9" s="3" t="n"/>
    </row>
    <row r="10">
      <c r="A10" t="inlineStr">
        <is>
          <t>Number of servers (n)</t>
        </is>
      </c>
      <c r="B10" t="inlineStr">
        <is>
          <t>servers</t>
        </is>
      </c>
      <c r="C10" s="3" t="n"/>
    </row>
    <row r="12">
      <c r="A12" s="1" t="inlineStr">
        <is>
          <t>CALCULATIONS</t>
        </is>
      </c>
    </row>
    <row r="13">
      <c r="A13" t="inlineStr">
        <is>
          <t>Ca = σa/A</t>
        </is>
      </c>
      <c r="C13" s="4">
        <f>C8/C7</f>
        <v/>
      </c>
      <c r="E13" s="2">
        <f>C8/C7</f>
        <v/>
      </c>
    </row>
    <row r="14">
      <c r="A14" t="inlineStr">
        <is>
          <t>Cs = σs/M</t>
        </is>
      </c>
      <c r="C14" s="4">
        <f>C10/C9</f>
        <v/>
      </c>
      <c r="E14" s="2">
        <f>C10/C9</f>
        <v/>
      </c>
    </row>
    <row r="15">
      <c r="A15" t="inlineStr">
        <is>
          <t>ρ = M/(n×A)</t>
        </is>
      </c>
      <c r="C15" s="4">
        <f>C9/(C12*C7)</f>
        <v/>
      </c>
      <c r="E15" s="2">
        <f>C9/(C12*C7)</f>
        <v/>
      </c>
    </row>
    <row r="16">
      <c r="A16" t="inlineStr">
        <is>
          <t>Exponent = √(2(n+1))-1</t>
        </is>
      </c>
      <c r="C16" s="4">
        <f>SQRT(2*(C12+1))-1</f>
        <v/>
      </c>
      <c r="E16" s="2">
        <f>SQRT(2*(C12+1))-1</f>
        <v/>
      </c>
    </row>
    <row r="18">
      <c r="A18" s="1" t="inlineStr">
        <is>
          <t>RESULTS</t>
        </is>
      </c>
    </row>
    <row r="19">
      <c r="A19" t="inlineStr">
        <is>
          <t>Wq (multi-server)</t>
        </is>
      </c>
      <c r="C19" s="4">
        <f>(C9/C13)*(C16^C18/(1-C16))*((C15^2+C14^2)/2)</f>
        <v/>
      </c>
    </row>
    <row r="20">
      <c r="A20" t="inlineStr">
        <is>
          <t>W (total time)</t>
        </is>
      </c>
      <c r="C20" s="4">
        <f>C19+C9</f>
        <v/>
      </c>
    </row>
    <row r="21">
      <c r="A21" t="inlineStr">
        <is>
          <t>L (total in system)</t>
        </is>
      </c>
      <c r="C21" s="4">
        <f>(1/C8)*C18</f>
        <v/>
      </c>
    </row>
    <row r="22">
      <c r="A22" t="inlineStr">
        <is>
          <t>Lq (in queue)</t>
        </is>
      </c>
      <c r="C22" s="4">
        <f>C18-C9*(1/C8)</f>
        <v/>
      </c>
    </row>
    <row r="23">
      <c r="A23" t="inlineStr">
        <is>
          <t>WIP = L</t>
        </is>
      </c>
      <c r="C23" s="4">
        <f>C17</f>
        <v/>
      </c>
    </row>
  </sheetData>
  <mergeCells count="5">
    <mergeCell ref="A1:F1"/>
    <mergeCell ref="A5:F5"/>
    <mergeCell ref="A3:J3"/>
    <mergeCell ref="A18:F18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HANOVER POST OFFICE EXAMPLE</t>
        </is>
      </c>
    </row>
    <row r="3">
      <c r="A3" s="2" t="inlineStr">
        <is>
          <t>Pre-filled example: A=2 min, σa=2 min, M=1.5 min, σs=1.5 min</t>
        </is>
      </c>
    </row>
    <row r="5">
      <c r="A5" s="1" t="inlineStr">
        <is>
          <t>GIVEN DATA</t>
        </is>
      </c>
    </row>
    <row r="6">
      <c r="A6" t="inlineStr">
        <is>
          <t>Mean interarrival time (A)</t>
        </is>
      </c>
      <c r="B6" s="4" t="inlineStr">
        <is>
          <t>2</t>
        </is>
      </c>
      <c r="C6" t="inlineStr">
        <is>
          <t>minutes</t>
        </is>
      </c>
    </row>
    <row r="7">
      <c r="A7" t="inlineStr">
        <is>
          <t>Std dev arrivals (σa)</t>
        </is>
      </c>
      <c r="B7" s="4" t="inlineStr">
        <is>
          <t>2</t>
        </is>
      </c>
      <c r="C7" t="inlineStr">
        <is>
          <t>minutes</t>
        </is>
      </c>
    </row>
    <row r="8">
      <c r="A8" t="inlineStr">
        <is>
          <t>Mean service time (M)</t>
        </is>
      </c>
      <c r="B8" s="4" t="inlineStr">
        <is>
          <t>1.5</t>
        </is>
      </c>
      <c r="C8" t="inlineStr">
        <is>
          <t>minutes</t>
        </is>
      </c>
    </row>
    <row r="9">
      <c r="A9" t="inlineStr">
        <is>
          <t>Std dev service (σs)</t>
        </is>
      </c>
      <c r="B9" s="4" t="inlineStr">
        <is>
          <t>1.5</t>
        </is>
      </c>
      <c r="C9" t="inlineStr">
        <is>
          <t>minutes</t>
        </is>
      </c>
    </row>
    <row r="11">
      <c r="A11" s="1" t="inlineStr">
        <is>
          <t>SOLUTION: 1 SERVER</t>
        </is>
      </c>
    </row>
    <row r="12">
      <c r="A12" t="inlineStr">
        <is>
          <t>Ca</t>
        </is>
      </c>
      <c r="C12" s="4">
        <f>B8/B7</f>
        <v/>
      </c>
    </row>
    <row r="13">
      <c r="A13" t="inlineStr">
        <is>
          <t>Cs</t>
        </is>
      </c>
      <c r="C13" s="4">
        <f>B10/B9</f>
        <v/>
      </c>
    </row>
    <row r="14">
      <c r="A14" t="inlineStr">
        <is>
          <t>ρ</t>
        </is>
      </c>
      <c r="C14" s="4">
        <f>B9/B7</f>
        <v/>
      </c>
    </row>
    <row r="15">
      <c r="A15" t="inlineStr">
        <is>
          <t>Wq</t>
        </is>
      </c>
      <c r="C15" s="4">
        <f>B9*(C11/(1-C11))*((B8^2+B10^2)/2)</f>
        <v/>
      </c>
    </row>
    <row r="16">
      <c r="A16" t="inlineStr">
        <is>
          <t>W (total)</t>
        </is>
      </c>
      <c r="C16" s="4">
        <f>C12+B9</f>
        <v/>
      </c>
    </row>
    <row r="18">
      <c r="A18" s="1" t="inlineStr">
        <is>
          <t>SOLUTION: 2 SERVERS</t>
        </is>
      </c>
    </row>
    <row r="19">
      <c r="A19" t="inlineStr">
        <is>
          <t>n (servers)</t>
        </is>
      </c>
      <c r="C19" s="4" t="inlineStr">
        <is>
          <t>2</t>
        </is>
      </c>
    </row>
    <row r="20">
      <c r="A20" t="inlineStr">
        <is>
          <t>ρ (per server)</t>
        </is>
      </c>
      <c r="C20" s="4">
        <f>B12/(2/C19)</f>
        <v/>
      </c>
    </row>
    <row r="21">
      <c r="A21" t="inlineStr">
        <is>
          <t>Exponent</t>
        </is>
      </c>
      <c r="C21" s="4">
        <f>SQRT(2*(C19+1))-1</f>
        <v/>
      </c>
    </row>
    <row r="22">
      <c r="A22" t="inlineStr">
        <is>
          <t>Wq (2 servers)</t>
        </is>
      </c>
      <c r="C22" s="4">
        <f>(B12/C19)*((C18)^(C19)/(1-C18))*((B11^2+B13^2)/2)</f>
        <v/>
      </c>
    </row>
    <row r="23">
      <c r="A23" t="inlineStr">
        <is>
          <t>W (total)</t>
        </is>
      </c>
      <c r="C23" s="4">
        <f>C20+B12</f>
        <v/>
      </c>
    </row>
  </sheetData>
  <mergeCells count="2">
    <mergeCell ref="A1:F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2026-03-10T23:37:26Z</dcterms:created>
  <dcterms:modified xmlns:dcterms="http://purl.org/dc/terms/" xmlns:xsi="http://www.w3.org/2001/XMLSchema-instance" xsi:type="dcterms:W3CDTF">2026-03-10T23:37:26Z</dcterms:modified>
</cp:coreProperties>
</file>